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bookViews>
    <workbookView firstSheet="1" activeTab="1"/>
  </bookViews>
  <sheets>
    <sheet name="Sheet1." sheetId="1" r:id="rId1" state="hidden"/>
    <sheet name="Login" sheetId="2" r:id="rId2"/>
    <sheet name="Top up " sheetId="3" r:id="rId3"/>
    <sheet name="Hold During Bidding" sheetId="4" r:id="rId4"/>
    <sheet name="Bid on an Uncapped Window Aucti" sheetId="5" r:id="rId5"/>
    <sheet name="Dynamic Timer Extension" sheetId="6" r:id="rId6"/>
    <sheet name="Instant Buy-Out on a Capped Val" sheetId="7" r:id="rId7"/>
    <sheet name="Automated Proxy Bidding" sheetId="8" r:id="rId8"/>
    <sheet name="Auction Lot Creation and Rule " sheetId="9" r:id="rId9"/>
    <sheet name="Universal Live Bid &amp; Concurrenc" sheetId="10" r:id="rId10"/>
    <sheet name="Settlement and Collateral Recon" sheetId="11" r:id="rId11"/>
    <sheet name="View Item " sheetId="12" r:id="rId12"/>
    <sheet name="History Bidder" sheetId="13" r:id="rId13"/>
    <sheet name="Detail "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system user (Bidder, Auction Manager, or Super Admin), I want to log in using the authentication method that matches my role (NIRO for Bidder and Auction Manager, Email and Password for Super Admin) so that I can securely access the workspace for my role, and the system rejects any access that does not comply with the rules.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c r="A6" t="str">
        <v>The user is on the login page</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t="str">
        <f>IF(H6="Experienced in project",1,IF(H6="Ever implement",2,IF(H6="Aware but never implement",3,IF(H6="Never implement and not aware",4,"0"))))</f>
        <v>0</v>
      </c>
      <c r="J33">
        <f>I33*D33</f>
        <v>0</v>
      </c>
      <c r="O33" t="str">
        <v>M</v>
      </c>
      <c r="P33" t="str">
        <v>BE</v>
      </c>
      <c r="Q33">
        <f>N30</f>
        <v>0</v>
      </c>
    </row>
    <row r="34">
      <c r="C34" t="str">
        <v># Surrounding involvement</v>
      </c>
      <c r="D34">
        <v>15</v>
      </c>
      <c r="E34">
        <v>0</v>
      </c>
      <c r="F34">
        <v>1</v>
      </c>
      <c r="G34">
        <v>2</v>
      </c>
      <c r="H34" t="str">
        <v>≧ 3</v>
      </c>
      <c r="I34">
        <v>1</v>
      </c>
      <c r="J34">
        <f>I34*D34</f>
        <v>15</v>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v>0</v>
      </c>
      <c r="J35">
        <f>I35*D35</f>
        <v>0</v>
      </c>
    </row>
    <row r="36">
      <c r="C36" t="str">
        <v>Acceptance Criteria</v>
      </c>
      <c r="D36">
        <v>25</v>
      </c>
      <c r="E36" t="str">
        <v>1-4</v>
      </c>
      <c r="F36" t="str">
        <v>5-8</v>
      </c>
      <c r="G36" t="str">
        <v>9-12</v>
      </c>
      <c r="H36" t="str">
        <v>&gt; 12</v>
      </c>
      <c r="I36">
        <f>IF(COUNTA(A6:A26)=0,0,IF(COUNTA(A6:A26)&lt;=4,1,IF(COUNTA(A6:A26)&lt;=8,2,IF(COUNTA(A6:A26)&lt;=12,3,4))))</f>
        <v>1</v>
      </c>
      <c r="J36">
        <f>I36*D36</f>
        <v>25</v>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v>0</v>
      </c>
      <c r="J37">
        <f>I37*D37</f>
        <v>0</v>
      </c>
      <c r="M37" t="str">
        <v>S</v>
      </c>
      <c r="N37" t="str">
        <v>≦ 100</v>
      </c>
      <c r="O37" t="str">
        <v>&lt; 2 days</v>
      </c>
      <c r="P37" t="str">
        <v>1-3</v>
      </c>
    </row>
    <row r="38">
      <c r="D38">
        <f>SUM(D33:D37)</f>
        <v>100</v>
      </c>
      <c r="I38" t="str">
        <v>SIZE</v>
      </c>
      <c r="J38">
        <f>SUM(J33:J37)</f>
        <v>40</v>
      </c>
      <c r="M38" t="str">
        <v>M</v>
      </c>
      <c r="N38" t="str">
        <v>101-200</v>
      </c>
      <c r="O38" t="str">
        <v>2 – 3 days</v>
      </c>
      <c r="P38" t="str">
        <v>4-6</v>
      </c>
    </row>
    <row r="39">
      <c r="J39" t="str">
        <f>IF(J38&lt;=100,"S",IF(J38&lt;=200,"M",IF(J38&lt;=250,"L","XL")))</f>
        <v>S</v>
      </c>
      <c r="M39" t="str">
        <v>L</v>
      </c>
      <c r="N39" t="str">
        <v>201-250</v>
      </c>
      <c r="O39" t="str">
        <v>&gt; 3 – 5 days</v>
      </c>
      <c r="P39" t="str">
        <v>7-10</v>
      </c>
    </row>
    <row r="40">
      <c r="M40" t="str">
        <v>XL</v>
      </c>
      <c r="N40" t="str">
        <v>&gt; 250</v>
      </c>
      <c r="O40" t="str">
        <v>&gt; 5 days</v>
      </c>
      <c r="P40" t="str">
        <v>&gt; 10</v>
      </c>
    </row>
  </sheetData>
  <mergeCells count="44">
    <mergeCell ref="A2:E2"/>
    <mergeCell ref="A4:A5"/>
    <mergeCell ref="B4:G4"/>
    <mergeCell ref="H4:H5"/>
    <mergeCell ref="I4:I5"/>
    <mergeCell ref="B12:E12"/>
    <mergeCell ref="M4:M5"/>
    <mergeCell ref="N4:N5"/>
    <mergeCell ref="O4:O5"/>
    <mergeCell ref="B8:E8"/>
    <mergeCell ref="B9:E9"/>
    <mergeCell ref="B10:E10"/>
    <mergeCell ref="B11:E11"/>
    <mergeCell ref="P4:P5"/>
    <mergeCell ref="B5:E5"/>
    <mergeCell ref="B6:E6"/>
    <mergeCell ref="K4:K5"/>
    <mergeCell ref="B7:E7"/>
    <mergeCell ref="J4:J5"/>
    <mergeCell ref="B24:E24"/>
    <mergeCell ref="B13:E13"/>
    <mergeCell ref="B14:E14"/>
    <mergeCell ref="B15:E15"/>
    <mergeCell ref="B16:E16"/>
    <mergeCell ref="B17:E17"/>
    <mergeCell ref="B18:E18"/>
    <mergeCell ref="B19:E19"/>
    <mergeCell ref="B20:E20"/>
    <mergeCell ref="B21:E21"/>
    <mergeCell ref="B22:E22"/>
    <mergeCell ref="B23:E23"/>
    <mergeCell ref="M32:M33"/>
    <mergeCell ref="N32:N33"/>
    <mergeCell ref="I38:I39"/>
    <mergeCell ref="B25:E25"/>
    <mergeCell ref="B26:E26"/>
    <mergeCell ref="A27:G27"/>
    <mergeCell ref="I27:K27"/>
    <mergeCell ref="M28:P28"/>
    <mergeCell ref="C31:C32"/>
    <mergeCell ref="D31:D32"/>
    <mergeCell ref="E31:H31"/>
    <mergeCell ref="I31:I32"/>
    <mergeCell ref="J31:J32"/>
  </mergeCells>
  <pageMargins left="0.7" right="0.7" top="0.75" bottom="0.75" header="0.3" footer="0.3"/>
  <ignoredErrors>
    <ignoredError numberStoredAsText="1" sqref="A1:Q47"/>
  </ignoredErrors>
</worksheet>
</file>

<file path=xl/worksheets/sheet2.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system user (Bidder, Auction Manager, or Super Admin), I want to log in using the authentication method that matches my role (NIRO for Bidder and Auction Manager, Email and Password for Super Admin) so that I can securely access the workspace for my role, and the system rejects any access that does not comply with the rules.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A Bidder user is on the Sign in page</v>
      </c>
      <c r="F6" t="str">
        <v>The user clicks 'Login with NIRO' and successfully authenticates</v>
      </c>
      <c r="G6" t="str">
        <v>The system issues a JWT session with role 'BIDDER' and redirects the user to the Bidder Workspace</v>
      </c>
      <c r="H6" t="str">
        <v>Experienced in project</v>
      </c>
      <c r="I6" t="str">
        <v>NIRO SSO</v>
      </c>
      <c r="J6" t="str" xml:space="preserve">
        <v xml:space="preserve">Login Flow:
FE -&gt; BE: Authorize URL Redirect
BE -&gt; FE: Return Login URL
FE: Redirect and Login to Receive Niro Token
FE -&gt; BE: Auth Login Token</v>
      </c>
      <c r="K6" t="str">
        <v>Sign In Page Tabs &amp; Layout</v>
      </c>
      <c r="M6" t="str" xml:space="preserve">
        <v xml:space="preserve">1. [Auth] Implement NIRO SSO Redirect &amp; Authorize Endpoint
- Route GET /api/v1/auth/niro/authorize-url
- Generate cryptographically secure CSRF state token
- Return standard JSON envelope</v>
      </c>
      <c r="N6">
        <v>1</v>
      </c>
      <c r="O6">
        <v>1</v>
      </c>
      <c r="P6">
        <v>2</v>
      </c>
    </row>
    <row r="7" xml:space="preserve">
      <c r="A7">
        <v>2</v>
      </c>
      <c r="B7" t="str">
        <v>An Auction Manager user is on the Sign in page</v>
      </c>
      <c r="F7" t="str">
        <v>The user clicks 'Login with NIRO' and successfully authenticates</v>
      </c>
      <c r="G7" t="str">
        <v>The system recognizes their promoted 'ADMIN' role and redirects the user to the Auction Manager Workspace (not the Bidder workspace)</v>
      </c>
      <c r="I7" t="str">
        <v>Redis Session Store</v>
      </c>
      <c r="J7" t="str">
        <v>BE -&gt; NIRO: Validate and Get User Info based Niro Login Token</v>
      </c>
      <c r="K7" t="str">
        <v>NIRO SSO Direct Button</v>
      </c>
      <c r="M7" t="str" xml:space="preserve">
        <v xml:space="preserve">2. [Auth] Implement NIRO Token Exchange &amp; Auto-Provisioning
- Route POST /api/v1/auth/login/niro
- Verify token against NIRO Identity Provider
- Auto-register if new (role BIDDER, init wallet balance 0)
- Return JWT session &amp; wallet info</v>
      </c>
      <c r="N7">
        <v>2</v>
      </c>
      <c r="O7">
        <v>1</v>
      </c>
      <c r="P7">
        <v>3</v>
      </c>
    </row>
    <row r="8" xml:space="preserve">
      <c r="A8">
        <v>3</v>
      </c>
      <c r="B8" t="str">
        <v>A Bidder or Auction Manager user is on the Sign in page</v>
      </c>
      <c r="F8" t="str">
        <v>The user attempts to submit the Email &amp; Password form</v>
      </c>
      <c r="G8" t="str">
        <v>The system rejects the login attempt, does not create a session, and displays: 'Please use Login with NIRO for your account type</v>
      </c>
      <c r="J8" t="str" xml:space="preserve">
        <v xml:space="preserve">Cek Registration Status
== IF Registered
BE: Get User Info</v>
      </c>
      <c r="K8" t="str">
        <v>Email &amp; Password Superadmin Form</v>
      </c>
      <c r="M8" t="str" xml:space="preserve">
        <v xml:space="preserve">3. [Auth] Implement Superadmin Email Login &amp; Progressive Lockout
- Route POST /api/v1/auth/login/email
- Verify Bcrypt hash (min 12 chars password)
- Track failed attempts in Redis (fail:email)
- Lock rules: 3 fails -&gt; 1m, 6 fails -&gt; 2m, 9 fails -&gt; 1h</v>
      </c>
      <c r="N8">
        <v>2</v>
      </c>
      <c r="O8">
        <v>1</v>
      </c>
      <c r="P8">
        <v>3</v>
      </c>
    </row>
    <row r="9" xml:space="preserve">
      <c r="A9">
        <v>4</v>
      </c>
      <c r="B9" t="str">
        <v>A Super Admin user is on the Sign in page</v>
      </c>
      <c r="F9" t="str">
        <v>The user inputs a valid Email and Password (min. 12 characters) and submits</v>
      </c>
      <c r="G9" t="str">
        <v>The system issues a JWT session with role 'SUPERADMIN', resets any failed login counters, and redirects to the Super Admin Portal</v>
      </c>
      <c r="J9" t="str" xml:space="preserve">
        <v xml:space="preserve">== IF Not Registered
BE: Insert User Info &amp; Insert Wallet Info</v>
      </c>
      <c r="K9" t="str">
        <v>Lockout Timer Banner (Countdown Alert)</v>
      </c>
      <c r="M9" t="str" xml:space="preserve">
        <v xml:space="preserve">4. [Admin] Implement Role Promotion &amp; Token Invalidation Usecase
- Route PATCH /api/v1/admin/users/:id/role
- Update PostgreSQL user role to ADMIN
- Increment token_version:{user_id} in Redis to trigger immediate auto-logout</v>
      </c>
      <c r="N9">
        <v>1</v>
      </c>
      <c r="O9">
        <v>1</v>
      </c>
      <c r="P9">
        <v>2</v>
      </c>
    </row>
    <row r="10" xml:space="preserve">
      <c r="A10">
        <v>5</v>
      </c>
      <c r="B10" t="str">
        <v>A Super Admin user is on the Sign in page</v>
      </c>
      <c r="F10" t="str">
        <v>The user enters an incorrect password 3 consecutive times</v>
      </c>
      <c r="G10" t="str">
        <v>The system locks the Super Admin login for 1 minute (60 seconds) and displays HTTP 429 with retry-after information</v>
      </c>
      <c r="J10" t="str">
        <v>BE -&gt; FE: Return Login with Token (JWT)</v>
      </c>
      <c r="M10" t="str" xml:space="preserve">
        <v xml:space="preserve">5. [Delivery] Implement Auth JWT Middleware &amp; Delivery Handlers
- Extract Bearer token &amp; validate claims
- Check token_version against Redis session store
- Return standardized 401 AUTH_TOKEN_REVOKED envelope</v>
      </c>
      <c r="N10">
        <v>1</v>
      </c>
      <c r="O10">
        <v>0.5</v>
      </c>
      <c r="P10">
        <v>1.5</v>
      </c>
    </row>
    <row r="11" xml:space="preserve">
      <c r="A11">
        <v>6</v>
      </c>
      <c r="B11" t="str">
        <v>A Super Admin login has already been locked for 1 minute once</v>
      </c>
      <c r="F11" t="str">
        <v>The user fails another 3 consecutive login attempts immediately after the first lock expires</v>
      </c>
      <c r="G11" t="str">
        <v>The system doubles the lockout duration to 2 minutes (120 seconds)</v>
      </c>
      <c r="J11" t="str" xml:space="preserve">
        <v xml:space="preserve">BE -&gt; Redis: Check Lockout Counter for Superadmin Email
== IF Exceeded: Return 429 Too Many Requests
== IF Valid: Authenticate Bcrypt Hash</v>
      </c>
    </row>
    <row r="12">
      <c r="A12">
        <v>7</v>
      </c>
      <c r="B12" t="str">
        <v>A Super Admin login has already been locked twice (1 minute and 2 minutes)</v>
      </c>
      <c r="F12" t="str">
        <v>The user fails another 3 consecutive login attempts</v>
      </c>
      <c r="G12" t="str">
        <v>The user fails another 3 consecutive login attempts</v>
      </c>
      <c r="J12" t="str">
        <v>BE -&gt; Redis: INCR token_version:{user_id} on Role Promotion (Auto-Logout Trigger)</v>
      </c>
    </row>
    <row r="13">
      <c r="A13">
        <v>8</v>
      </c>
      <c r="B13" t="str">
        <v>A Super Admin is logged in to the Super Admin Portal</v>
      </c>
      <c r="F13" t="str">
        <v>The Super Admin selects an existing NIRO user and assigns the role 'ADMIN'</v>
      </c>
      <c r="G13" t="str">
        <v>The user's role is updated in the database, granting them immediate access to the Auction Manager Console on subsequent logins</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3.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I want to top up my e-wallet balance with a minimum amount of IDR 100,000, so that I have sufficient available balance to participate in and place bids on luxury auctions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As a Bidder, I want to top up my e-wallet balance with a minimum amount of IDR 100,000, so that I have sufficient available balance to participate in and place bids on luxury auctions</v>
      </c>
      <c r="F6" t="str">
        <v>Bidder submits a top-up amount &gt;= IDR 100,000</v>
      </c>
      <c r="G6" t="str">
        <v>The available balance increases by the exact amount, total balance updates, and an entry of type 'WALLET_TOPUP' is logged</v>
      </c>
      <c r="H6" t="str">
        <v>Experienced in project</v>
      </c>
      <c r="I6" t="str">
        <v>Virtual Account / Banking Gateway</v>
      </c>
      <c r="J6" t="str" xml:space="preserve">
        <v xml:space="preserve">FE -&gt; BE: GET /wallet/me
BE -&gt; DB/Redis: Fetch liquid available_balance and locked_balance (float64)
BE -&gt; FE: Return standard wallet payload</v>
      </c>
      <c r="K6" t="str">
        <v>Wallet Balance Display Header Chips</v>
      </c>
      <c r="M6" t="str" xml:space="preserve">
        <v xml:space="preserve">1. [Wallet] Implement Wallet Query &amp; Active Balance Usecase
- Route GET /api/v1/wallet/me
- Query liquid available_balance and locked_balance (float64)
- Map to standard response envelope</v>
      </c>
      <c r="N6">
        <v>1</v>
      </c>
      <c r="O6">
        <v>1</v>
      </c>
      <c r="P6">
        <v>2</v>
      </c>
    </row>
    <row r="7" xml:space="preserve">
      <c r="A7">
        <v>2</v>
      </c>
      <c r="B7" t="str">
        <v>A logged-in Bidder is on the E-Wallet page</v>
      </c>
      <c r="F7" t="str">
        <v>Bidder submits a top-up amount &lt; IDR 100,000</v>
      </c>
      <c r="G7" t="str">
        <v>System rejects the request with HTTP 400 and error message: 'Minimum top up is IDR 100,000</v>
      </c>
      <c r="I7" t="str">
        <v>PostgreSQL ACID Ledger</v>
      </c>
      <c r="J7" t="str" xml:space="preserve">
        <v xml:space="preserve">FE -&gt; BE: POST /wallet/topup {amount &gt;= 100000}
BE: Validate role == BIDDER (Reject AM/Superadmin 403)
BE: Validate amount &gt;= 100,000.00</v>
      </c>
      <c r="K7" t="str">
        <v>Top-up Modal Dialog Window</v>
      </c>
      <c r="M7" t="str" xml:space="preserve">
        <v xml:space="preserve">2. [Wallet] Implement Bidder Top-Up Balance Endpoint
- Route POST /api/v1/wallet/topup
- Enforce role validation (exclusive to BIDDER, reject AM/Superadmin 403)
- Validate minimum amount &gt;= Rp 100.000</v>
      </c>
      <c r="N7">
        <v>1.5</v>
      </c>
      <c r="O7">
        <v>1</v>
      </c>
      <c r="P7">
        <v>2.5</v>
      </c>
    </row>
    <row r="8" xml:space="preserve">
      <c r="A8">
        <v>3</v>
      </c>
      <c r="B8" t="str">
        <v>The user is logged in as an Auction Manager or Super Admin.</v>
      </c>
      <c r="F8" t="str">
        <v>The user attempts to top up a wallet.</v>
      </c>
      <c r="G8" t="str">
        <v>The system denies access and displays the message: "Wallet top-up is exclusive to Bidder accounts."</v>
      </c>
      <c r="J8" t="str" xml:space="preserve">
        <v xml:space="preserve">BE -&gt; DB: BEGIN TRANSACTION
DB: Increment wallet available_balance (float64)
DB: INSERT INTO ledger_entries (type: WALLET_TOPUP)
DB: COMMIT TRANSACTION</v>
      </c>
      <c r="K8" t="str">
        <v>Quick Nominal Selection Chips (+100k, +500k, +1m, +5m)</v>
      </c>
      <c r="M8" t="str" xml:space="preserve">
        <v xml:space="preserve">3. [Ledger] Implement Immutable Ledger Journal Persistence
- Begin ACID transaction in PostgreSQL
- Increment available_balance (float64)
- Insert ledger_entries record (type: WALLET_TOPUP)</v>
      </c>
      <c r="N8">
        <v>1</v>
      </c>
      <c r="O8">
        <v>0.5</v>
      </c>
      <c r="P8">
        <v>1.5</v>
      </c>
    </row>
    <row r="9" xml:space="preserve">
      <c r="J9" t="str" xml:space="preserve">
        <v xml:space="preserve">BE -&gt; Redis: Update In-Memory cache wallet:{user_id}
BE -&gt; FE: Return 200 OK with updated balance envelope</v>
      </c>
      <c r="K9" t="str">
        <v>Transaction Status &amp; Receipt Feedback View</v>
      </c>
      <c r="M9" t="str" xml:space="preserve">
        <v xml:space="preserve">4. [Delivery] UI Slicing &amp; Modal Top-Up E-Wallet
- Modal input nominal with quick chips (+100k, +500k, +1m)
- Real-time balance refresh upon success</v>
      </c>
      <c r="N9">
        <v>0</v>
      </c>
      <c r="O9">
        <v>1.5</v>
      </c>
      <c r="P9">
        <v>1.5</v>
      </c>
    </row>
    <row r="10">
      <c r="J10" t="str">
        <v>FE: Update Wallet header chips &amp; trigger success toast notification</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4.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I want my available balance to be validated and held as collateral upon submitting a bid, and to remain held throughout the entire auction period until settlement, so that all bids are backed by real funds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Bidder has available balance of IDR 100,000 and locked balance of IDR 0</v>
      </c>
      <c r="F6" t="str">
        <v>Bidder places a bid of IDR 75,000</v>
      </c>
      <c r="G6" t="str">
        <v>Bid is accepted, IDR 75,000 is moved to locked balance, and available balance becomes IDR 25,000</v>
      </c>
      <c r="H6" t="str">
        <v>Experienced in project</v>
      </c>
      <c r="I6" t="str">
        <v>Redis In-Memory Tier</v>
      </c>
      <c r="J6" t="str" xml:space="preserve">
        <v xml:space="preserve">FE -&gt; BE: Submit Increment Bid Action
BE -&gt; Redis: Verify available_balance &gt;= target_bid</v>
      </c>
      <c r="K6" t="str">
        <v>Held Collateral Balance Widget</v>
      </c>
      <c r="M6" t="str" xml:space="preserve">
        <v xml:space="preserve">1. [Bid] Implement Dynamic Hold Allocation on Bid Placement
- Verify available_balance &gt;= new_bid_amount
- Deduct available_balance and add to locked_balance in Redis Hash
- Maintain hold throughout auction lifecycle</v>
      </c>
      <c r="N6">
        <v>2</v>
      </c>
      <c r="O6">
        <v>1</v>
      </c>
      <c r="P6">
        <v>3</v>
      </c>
    </row>
    <row r="7" xml:space="preserve">
      <c r="A7">
        <v>2</v>
      </c>
      <c r="B7" t="str">
        <v>Bidder has an active held bid of IDR 75,000</v>
      </c>
      <c r="F7" t="str">
        <v>Another participant submits a higher bid of IDR 85,000 (outbid event)</v>
      </c>
      <c r="G7" t="str">
        <v>The initial bidder's IDR 75,000 remains in locked balance and is NOT immediately released during the ongoing auction period</v>
      </c>
      <c r="I7" t="str">
        <v>PostgreSQL Ledger</v>
      </c>
      <c r="J7" t="str">
        <v>Redis: Atomically deduct available_balance &amp; increase locked_balance</v>
      </c>
      <c r="K7" t="str">
        <v>Outbid Position Status Indicator Badge</v>
      </c>
      <c r="M7" t="str" xml:space="preserve">
        <v xml:space="preserve">2. [Bid] Implement Outbid State &amp; Non-Release Guard Logic
- Prevent premature unfreeze when participant is outbid
- Update highest_bidder_id while keeping previous bidders funds locked</v>
      </c>
      <c r="N7">
        <v>1.5</v>
      </c>
      <c r="O7">
        <v>1</v>
      </c>
      <c r="P7">
        <v>2.5</v>
      </c>
    </row>
    <row r="8" xml:space="preserve">
      <c r="A8">
        <v>3</v>
      </c>
      <c r="B8" t="str">
        <v>Bidder has available balance of IDR 25,000</v>
      </c>
      <c r="F8" t="str">
        <v>Bidder attempts to click a bid option requiring IDR 50,000</v>
      </c>
      <c r="G8" t="str">
        <v>The button is disabled with an explanatory message: 'Insufficient available balance. Please top up</v>
      </c>
      <c r="J8" t="str" xml:space="preserve">
        <v xml:space="preserve">== IF Outbid Event Occurs:
Redis: Update auction highest_bidder_id
Redis: Retain previous bidder held funds in locked_balance (NO release during active auction)</v>
      </c>
      <c r="K8" t="str">
        <v>Insufficient Balance Warning Alert &amp; Top-up Prompt</v>
      </c>
      <c r="M8" t="str" xml:space="preserve">
        <v xml:space="preserve">3. [Delivery] UI Responsive Balance Badges &amp; Insufficient Warning
- Display active held balance on auction room header
- Disable bid buttons when available_balance &lt; next_increment</v>
      </c>
      <c r="N8">
        <v>0</v>
      </c>
      <c r="O8">
        <v>1.5</v>
      </c>
      <c r="P8">
        <v>1.5</v>
      </c>
    </row>
    <row r="9" xml:space="preserve">
      <c r="B9" t="str">
        <v>The auction concludes and the Bidder did not win</v>
      </c>
      <c r="F9" t="str">
        <v>The settlement daemon processes finality</v>
      </c>
      <c r="G9" t="str">
        <v>The Bidder's held IDR 75,000 is released 100% back to available balance</v>
      </c>
      <c r="J9" t="str" xml:space="preserve">
        <v xml:space="preserve">== IF Auction Concludes:
BE Settlement: Permanently debit winner locked_balance
BE Settlement: Release 100% held funds for all losing participants to available_balance</v>
      </c>
    </row>
    <row r="10">
      <c r="J10" t="str">
        <v>BE -&gt; FE: Broadcast real-time balance mutation event via SSE</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5.xml><?xml version="1.0" encoding="utf-8"?>
<worksheet xmlns="http://schemas.openxmlformats.org/spreadsheetml/2006/main" xmlns:r="http://schemas.openxmlformats.org/officeDocument/2006/relationships">
  <dimension ref="A1:Q50"/>
  <sheetViews>
    <sheetView workbookViewId="0" rightToLeft="0"/>
  </sheetViews>
  <sheetData>
    <row r="1">
      <c r="A1" t="str">
        <v>USER STORY SIZING</v>
      </c>
    </row>
    <row r="2">
      <c r="A2" t="str">
        <v>As a Bidder, I want to place manual bids using pre-configured increment buttons on high-value asset categories without typing free text, competing within a time window defined by the Auction Manager (e.g. 1 day).</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xml:space="preserve">
        <v xml:space="preserve">A user is logged in as a Bidder,_x000d_
Viewing a high-value asset detail page with a Current Price of IDR 350,000,000,_x000d_
And the allowed pre-configured increments are +IDR 5m and +IDR 10m</v>
      </c>
      <c r="F6" t="str">
        <v>The Bidder clicks the +IDR 10m button</v>
      </c>
      <c r="G6" t="str" xml:space="preserve">
        <v xml:space="preserve">• The New Price automatically updates to IDR 360,000,000 without any free text typing._x000d_
• the Bidder becomes the Highest Bidder._x000d_
• The price updates in real-time for all observers in &lt; 300 ms.</v>
      </c>
      <c r="H6" t="str">
        <v>Experienced in project</v>
      </c>
      <c r="I6" t="str">
        <v>Redis Lua Engine</v>
      </c>
      <c r="J6" t="str">
        <v>FE: Bidder clicks pre-configured discrete increment button (+Rp 5m / +Rp 10m)</v>
      </c>
      <c r="K6" t="str">
        <v>Discrete Increment Step Buttons Bar</v>
      </c>
      <c r="M6" t="str" xml:space="preserve">
        <v xml:space="preserve">1. [Bid] Implement Discrete Step Increment Buttons Logic
- Route POST /api/v1/auctions/:id/bids
- Validate step strictly against lot allowed_increment_steps
- Reject custom free text inputs</v>
      </c>
      <c r="N6">
        <v>1.5</v>
      </c>
      <c r="O6">
        <v>1.5</v>
      </c>
      <c r="P6">
        <v>3</v>
      </c>
    </row>
    <row r="7" xml:space="preserve">
      <c r="A7">
        <v>2</v>
      </c>
      <c r="B7" t="str">
        <v>A user is logged in as a Bidder and has clicked an increment button</v>
      </c>
      <c r="F7" t="str">
        <v>The system triggers a Bid Confirmation Pop-up showing the exact bid summary</v>
      </c>
      <c r="G7" t="str" xml:space="preserve">
        <v xml:space="preserve">• The primary action button on the pop-up processes the official bid submission._x000d_
• A close or cancel option is provided to dismiss the action without placing a bid._x000d_
• The modal must display the correct Asset Title ("Vintage Rolex Submariner 1968")._x000d_
• It must clearly show the Bid Amount being placed (IDR 360,000,000)._x000d_
• It must list the Bidder's Virtual Account / Wallet Info for verification.</v>
      </c>
      <c r="I7" t="str">
        <v>SSE Stream Hub</v>
      </c>
      <c r="J7" t="str">
        <v>FE -&gt; BE: POST /api/v1/auctions/:id/bids {increment_added: float64}</v>
      </c>
      <c r="K7" t="str">
        <v>Bid Confirmation Pop-Up Modal Window</v>
      </c>
      <c r="M7" t="str" xml:space="preserve">
        <v xml:space="preserve">2. [Bid] Atomic Redis Lua Execution (bid_placement.lua)
- Atomic serialization of concurrent bids
- SLA latency target &lt; 5 ms in memory tier
- Evaluate auction time window expiry</v>
      </c>
      <c r="N7">
        <v>2</v>
      </c>
      <c r="O7">
        <v>0.5</v>
      </c>
      <c r="P7">
        <v>2.5</v>
      </c>
    </row>
    <row r="8" xml:space="preserve">
      <c r="A8">
        <v>3</v>
      </c>
      <c r="B8" t="str">
        <v>The "Confirm your bid" Pop-up modal is actively displayed on the Bidder's screen</v>
      </c>
      <c r="F8" t="str">
        <v>The Bidder clicks the "Confirm Bid" button (primary blue button)</v>
      </c>
      <c r="G8" t="str" xml:space="preserve">
        <v xml:space="preserve">• The pop-up closes immediately._x000d_
• The system processes the bid submission._x000d_
• The main screen background updates smoothly to reflect the new highest bidder status.</v>
      </c>
      <c r="I8" t="str">
        <v>PostgreSQL DB</v>
      </c>
      <c r="J8" t="str">
        <v>BE: Validate increment matches allowed_increment_steps (Reject free text input)</v>
      </c>
      <c r="K8" t="str">
        <v>Synchronized Real-Time Countdown Timer Component</v>
      </c>
      <c r="M8" t="str" xml:space="preserve">
        <v xml:space="preserve">3. [Delivery] Bid Confirmation Modal &amp; Synchronized Countdown
- Pop-up summary modal showing Asset, Bid Amount, and Wallet Info
- Time window sync with server clock; auto-lock on 00:00:00</v>
      </c>
      <c r="N8">
        <v>0.5</v>
      </c>
      <c r="O8">
        <v>2</v>
      </c>
      <c r="P8">
        <v>2.5</v>
      </c>
    </row>
    <row r="9" xml:space="preserve">
      <c r="A9">
        <v>4</v>
      </c>
      <c r="B9" t="str">
        <v>The "Confirm your bid" Pop-up modal is actively displayed on the Bidder's screen</v>
      </c>
      <c r="F9" t="str">
        <v>The Bidder clicks the "Cancel" / "Back" button or the "X" icon</v>
      </c>
      <c r="G9" t="str" xml:space="preserve">
        <v xml:space="preserve">• The pop-up closes immediately._x000d_
• No bid is submitted to the system._x000d_
• The main auction page remains in its exact previous state with no changes to the current price.</v>
      </c>
      <c r="J9" t="str" xml:space="preserve">
        <v xml:space="preserve">BE -&gt; Redis: EVALSHA bid_placement.lua
Redis: Verify lot status == ACTIVE &amp; now &lt; end_time
Redis: Check wallet available_balance &gt;= new_price
Redis: Atomic mutation of current_price &amp; highest_bidder_id</v>
      </c>
      <c r="K9" t="str">
        <v>Leading / Highest Bidder Banner Alert</v>
      </c>
    </row>
    <row r="10" xml:space="preserve">
      <c r="A10">
        <v>5</v>
      </c>
      <c r="B10" t="str">
        <v>The "Confirm your bid" Pop-up modal is actively displayed on the screen</v>
      </c>
      <c r="F10" t="str">
        <v>The live auction countdown timer is ticking down in the background</v>
      </c>
      <c r="G10" t="str" xml:space="preserve">
        <v xml:space="preserve">• The remaining time window (e.g., 00:04:32) must remain visible or sync correctly inside/behind the modal._x000d_
• If the time window expires (00:00:00) while the pop-up is still open, the modal must automatically close and show a "Time Expired" alert to prevent late submission.</v>
      </c>
      <c r="J10" t="str">
        <v>Redis -&gt; PubSub: Publish internal price_updated event</v>
      </c>
    </row>
    <row r="11" xml:space="preserve">
      <c r="A11">
        <v>6</v>
      </c>
      <c r="B11" t="str">
        <v>Two distinct Bidders are viewing the same active auction page</v>
      </c>
      <c r="F11" t="str">
        <v>Both Bidders click the increment button simultanesouly</v>
      </c>
      <c r="G11" t="str" xml:space="preserve">
        <v xml:space="preserve">• The system processes both incoming requests via Redis Lua atomic serialization._x000d_
• The first arriving bid is accepted._x000d_
• The second arriving bid is immediately evaluated against the newly incremented price with zero race condition or duplicate data errors.</v>
      </c>
      <c r="J11" t="str">
        <v>BE SSE Hub: Broadcast PRICE_UPDATED payload to all connected clients in &lt; 300 ms</v>
      </c>
    </row>
    <row r="12" xml:space="preserve">
      <c r="A12">
        <v>7</v>
      </c>
      <c r="B12" t="str">
        <v>A user is logged in as an Auction Manager or Super Admin</v>
      </c>
      <c r="F12" t="str">
        <v>Viewing the auction detail page</v>
      </c>
      <c r="G12" t="str" xml:space="preserve">
        <v xml:space="preserve">• The manual bid action buttons (Quick Increment Buttons &amp; Place Bid Column) are completely hidden or disabled._x000d_
• This strictly prevents any internal conflict of interest during the live auction.</v>
      </c>
      <c r="J12" t="str">
        <v>BE -&gt; DB: Asynchronously append bid log into bids table</v>
      </c>
    </row>
    <row r="13" xml:space="preserve">
      <c r="A13">
        <v>8</v>
      </c>
      <c r="B13" t="str">
        <v>A user is logged in as a Bidder on the auction detail page</v>
      </c>
      <c r="F13" t="str">
        <v>Observing the remaining time on the Countdown Timer component</v>
      </c>
      <c r="G13" t="str" xml:space="preserve">
        <v xml:space="preserve">• Bidders can only compete within the specific time window defined by the Auction Manager (e.g., 1 day)._x000d_
• Once the timer hits 00:00:00, all bidding actions are automatically locked out in real-time.</v>
      </c>
    </row>
    <row r="30">
      <c r="A30" t="str">
        <v>Please INSERT from here if need more row</v>
      </c>
      <c r="I30" t="str">
        <v>Please INSERT from here if need more row</v>
      </c>
    </row>
    <row r="31">
      <c r="M31" t="str">
        <v>Please INSERT from here if need more row</v>
      </c>
    </row>
    <row r="33">
      <c r="M33" t="str">
        <v>Total Task</v>
      </c>
      <c r="N33">
        <f>SUM(N6:N30)</f>
        <v>0</v>
      </c>
      <c r="O33">
        <f>SUM(O6:O30)</f>
        <v>0</v>
      </c>
      <c r="P33">
        <f>SUM(P6:P30)</f>
        <v>0</v>
      </c>
    </row>
    <row r="34">
      <c r="C34" t="str">
        <v>PARAMETERS</v>
      </c>
      <c r="D34" t="str">
        <v>WEIGHT</v>
      </c>
      <c r="E34" t="str">
        <v>SCORE</v>
      </c>
      <c r="I34" t="str">
        <v>SCORE APPRAISAL</v>
      </c>
      <c r="J34" t="str">
        <v>TOTAL SCORE</v>
      </c>
    </row>
    <row r="35">
      <c r="E35">
        <v>1</v>
      </c>
      <c r="F35">
        <v>2</v>
      </c>
      <c r="G35">
        <v>3</v>
      </c>
      <c r="H35">
        <v>4</v>
      </c>
      <c r="M35" t="str">
        <v>Total All Task</v>
      </c>
      <c r="N35">
        <f>P33/2</f>
        <v>0</v>
      </c>
      <c r="O35" t="str">
        <v>[Size task]</v>
      </c>
      <c r="P35" t="str">
        <v>FE</v>
      </c>
      <c r="Q35">
        <f>O33</f>
        <v>0</v>
      </c>
    </row>
    <row r="36">
      <c r="C36" t="str">
        <v>New Technology</v>
      </c>
      <c r="D36">
        <v>15</v>
      </c>
      <c r="E36" t="str">
        <v>Experienced in project</v>
      </c>
      <c r="F36" t="str">
        <v>Ever implement</v>
      </c>
      <c r="G36" t="str">
        <v>Aware but never implement</v>
      </c>
      <c r="H36" t="str">
        <v>Never implement and not aware</v>
      </c>
      <c r="I36">
        <f>IF(H6="Experienced in project",1,IF(H6="Ever implement",2,IF(H6="Aware but never implement",3,IF(H6="Never implement and not aware",4,"0"))))</f>
      </c>
      <c r="J36">
        <f>I36*D36</f>
      </c>
      <c r="O36">
        <f>J42</f>
      </c>
      <c r="P36" t="str">
        <v>BE</v>
      </c>
      <c r="Q36">
        <f>N33</f>
        <v>0</v>
      </c>
    </row>
    <row r="37">
      <c r="C37" t="str">
        <v># Surrounding involvement</v>
      </c>
      <c r="D37">
        <v>15</v>
      </c>
      <c r="E37">
        <v>0</v>
      </c>
      <c r="F37">
        <v>1</v>
      </c>
      <c r="G37">
        <v>2</v>
      </c>
      <c r="H37" t="str">
        <v>≧ 3</v>
      </c>
      <c r="I37">
        <v>2</v>
      </c>
      <c r="J37">
        <f>I37*D37</f>
      </c>
      <c r="P37" t="str">
        <v>APPS</v>
      </c>
      <c r="Q37">
        <v>2.5</v>
      </c>
    </row>
    <row r="38">
      <c r="C38" t="str">
        <v>Technical Flow</v>
      </c>
      <c r="D38">
        <v>30</v>
      </c>
      <c r="E38" t="str">
        <v>1-4 sequence</v>
      </c>
      <c r="F38" t="str">
        <v>5-7 sequence</v>
      </c>
      <c r="G38" t="str">
        <v>8-10 sequence</v>
      </c>
      <c r="H38" t="str">
        <v>&gt; 10 sequence</v>
      </c>
      <c r="I38">
        <f>IF(COUNTA(J6:J26)=0,0,IF(COUNTA(J6:J26)&lt;=4,1,IF(COUNTA(J6:J26)&lt;=7,2,IF(COUNTA(J6:J26)&lt;=10,3,4))))</f>
      </c>
      <c r="J38">
        <f>I38*D38</f>
      </c>
    </row>
    <row r="39">
      <c r="C39" t="str">
        <v>Acceptance Criteria</v>
      </c>
      <c r="D39">
        <v>25</v>
      </c>
      <c r="E39" t="str">
        <v>1-4</v>
      </c>
      <c r="F39" t="str">
        <v>5-8</v>
      </c>
      <c r="G39" t="str">
        <v>9-12</v>
      </c>
      <c r="H39" t="str">
        <v>&gt; 12</v>
      </c>
      <c r="I39">
        <f>IF(COUNTA(A6:A26)=0,0,IF(COUNTA(A6:A26)&lt;=4,1,IF(COUNTA(A6:A26)&lt;=8,2,IF(COUNTA(A6:A26)&lt;=12,3,4))))</f>
      </c>
      <c r="J39">
        <f>I39*D39</f>
      </c>
      <c r="M39" t="str">
        <v>SIZE</v>
      </c>
      <c r="N39" t="str">
        <v>SCORE RANGE</v>
      </c>
      <c r="O39" t="str">
        <v>ESTIMATE COMPLETION</v>
      </c>
      <c r="P39" t="str">
        <v>STORY POINT</v>
      </c>
    </row>
    <row r="40">
      <c r="C40" t="str">
        <v>UI Slicing</v>
      </c>
      <c r="D40">
        <v>15</v>
      </c>
      <c r="E40" t="str">
        <v>1-5 section</v>
      </c>
      <c r="F40" t="str">
        <v>6-10 section</v>
      </c>
      <c r="G40" t="str">
        <v>11-15 section</v>
      </c>
      <c r="H40" t="str">
        <v>&gt; 15 section</v>
      </c>
      <c r="I40">
        <f>IF(COUNTA(K6:K26)=0,0,IF(COUNTA(K6:K26)&lt;=5,1,IF(COUNTA(K6:K26)&lt;=10,2,IF(COUNTA(K6:K26)&lt;=15,3,4))))</f>
      </c>
      <c r="J40">
        <f>I40*D40</f>
      </c>
      <c r="M40" t="str">
        <v>S</v>
      </c>
      <c r="N40" t="str">
        <v>≦ 100</v>
      </c>
      <c r="O40" t="str">
        <v>&lt; 2 days</v>
      </c>
      <c r="P40" t="str">
        <v>1-3</v>
      </c>
    </row>
    <row r="41">
      <c r="D41">
        <f>SUM(D36:D40)</f>
      </c>
      <c r="I41" t="str">
        <v>SIZE</v>
      </c>
      <c r="J41">
        <f>SUM(J36:J40)</f>
      </c>
      <c r="M41" t="str">
        <v>M</v>
      </c>
      <c r="N41" t="str">
        <v>101-200</v>
      </c>
      <c r="O41" t="str">
        <v>2 – 3 days</v>
      </c>
      <c r="P41" t="str">
        <v>4-6</v>
      </c>
    </row>
    <row r="42">
      <c r="J42">
        <f>IF(J41&lt;=100,"S",IF(J41&lt;=200,"M",IF(J41&lt;=250,"L","XL")))</f>
      </c>
      <c r="M42" t="str">
        <v>L</v>
      </c>
      <c r="N42" t="str">
        <v>201-250</v>
      </c>
      <c r="O42" t="str">
        <v>&gt; 3 – 5 days</v>
      </c>
      <c r="P42" t="str">
        <v>7-10</v>
      </c>
    </row>
    <row r="43">
      <c r="M43" t="str">
        <v>XL</v>
      </c>
      <c r="N43" t="str">
        <v>&gt; 250</v>
      </c>
      <c r="O43" t="str">
        <v>&gt; 5 days</v>
      </c>
      <c r="P43" t="str">
        <v>&gt; 10</v>
      </c>
    </row>
  </sheetData>
  <mergeCells count="47">
    <mergeCell ref="N35:N36"/>
    <mergeCell ref="I41:I42"/>
    <mergeCell ref="C34:C35"/>
    <mergeCell ref="D34:D35"/>
    <mergeCell ref="E34:H34"/>
    <mergeCell ref="I34:I35"/>
    <mergeCell ref="J34:J35"/>
    <mergeCell ref="M35:M36"/>
    <mergeCell ref="M31:P31"/>
    <mergeCell ref="B21:E21"/>
    <mergeCell ref="B22:E22"/>
    <mergeCell ref="B23:E23"/>
    <mergeCell ref="B24:E24"/>
    <mergeCell ref="B25:E25"/>
    <mergeCell ref="B26:E26"/>
    <mergeCell ref="B27:E27"/>
    <mergeCell ref="B28:E28"/>
    <mergeCell ref="B29:E29"/>
    <mergeCell ref="A30:G30"/>
    <mergeCell ref="I30:K30"/>
    <mergeCell ref="M4:M5"/>
    <mergeCell ref="N4:N5"/>
    <mergeCell ref="O4:O5"/>
    <mergeCell ref="P4:P5"/>
    <mergeCell ref="B20:E20"/>
    <mergeCell ref="B6:E6"/>
    <mergeCell ref="B7:E7"/>
    <mergeCell ref="B11:E11"/>
    <mergeCell ref="B12:E12"/>
    <mergeCell ref="B13:E13"/>
    <mergeCell ref="B14:E14"/>
    <mergeCell ref="B15:E15"/>
    <mergeCell ref="B16:E16"/>
    <mergeCell ref="B17:E17"/>
    <mergeCell ref="B18:E18"/>
    <mergeCell ref="B19:E19"/>
    <mergeCell ref="A2:E2"/>
    <mergeCell ref="A4:A5"/>
    <mergeCell ref="B4:G4"/>
    <mergeCell ref="H4:H5"/>
    <mergeCell ref="K4:K5"/>
    <mergeCell ref="I4:I5"/>
    <mergeCell ref="J4:J5"/>
    <mergeCell ref="B8:E8"/>
    <mergeCell ref="B9:E9"/>
    <mergeCell ref="B10:E10"/>
    <mergeCell ref="B5:E5"/>
  </mergeCells>
  <pageMargins left="0.7" right="0.7" top="0.75" bottom="0.75" header="0.3" footer="0.3"/>
  <ignoredErrors>
    <ignoredError numberStoredAsText="1" sqref="A1:Q50"/>
  </ignoredErrors>
</worksheet>
</file>

<file path=xl/worksheets/sheet6.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and Auction Manager, I want the auction timer to automatically extend if high bidding velocity (&gt;= 10 hits/second) is detected in the final 2 minutes, using the extension duration configured for that lot</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Auction remaining time is 45 seconds (within the 2-minute critical zone)</v>
      </c>
      <c r="F6" t="str">
        <v>Bid velocity reaches 10 bids in a single second and lot extension is set to 5 minutes</v>
      </c>
      <c r="G6" t="str">
        <v>System extends the countdown by exactly 5 minutes and broadcasts the new end time via WebSocket</v>
      </c>
      <c r="H6" t="str">
        <v>Experienced in project</v>
      </c>
      <c r="I6" t="str">
        <v>Redis Rolling Counter</v>
      </c>
      <c r="J6" t="str">
        <v>BE Redis Lua: Check remaining_time &lt;= 120 seconds (Last 2-Minute Critical Zone)</v>
      </c>
      <c r="K6" t="str">
        <v>Critical Zone Countdown Highlight (Yellow/Red state)</v>
      </c>
      <c r="M6" t="str" xml:space="preserve">
        <v xml:space="preserve">1. [Anti-Sniping] Sliding Window Velocity Tracker in Redis
- Track incoming bid rate per lot using rolling timestamp keys
- Detect velocity &gt;= 10 bids/second</v>
      </c>
      <c r="N6">
        <v>1.5</v>
      </c>
      <c r="O6">
        <v>0.5</v>
      </c>
      <c r="P6">
        <v>2</v>
      </c>
    </row>
    <row r="7" xml:space="preserve">
      <c r="A7">
        <v>2</v>
      </c>
      <c r="B7" t="str">
        <v>Auction remaining time is 45 seconds</v>
      </c>
      <c r="F7" t="str">
        <v>Bid velocity is only 4 bids in that second</v>
      </c>
      <c r="G7" t="str">
        <v>System accepts the bids normally without extending the timer</v>
      </c>
      <c r="I7" t="str">
        <v>SSE Stream Hub</v>
      </c>
      <c r="J7" t="str">
        <v>BE Redis: Calculate bid velocity count in rolling 1-second sliding window</v>
      </c>
      <c r="K7" t="str">
        <v>Dynamic Timer Extension Animation Banner</v>
      </c>
      <c r="M7" t="str" xml:space="preserve">
        <v xml:space="preserve">2. [Anti-Sniping] Critical Zone Extension Evaluator
- Activate only when remaining_time &lt;= 120s
- Extend end_time by anti_sniping_extension_minutes from lot config
- Update Redis expiry ZSET score</v>
      </c>
      <c r="N7">
        <v>1.5</v>
      </c>
      <c r="O7">
        <v>0.5</v>
      </c>
      <c r="P7">
        <v>2</v>
      </c>
    </row>
    <row r="8" xml:space="preserve">
      <c r="A8">
        <v>3</v>
      </c>
      <c r="B8" t="str">
        <v>Auction remaining time is 5 minutes (outside the 2-minute critical zone)</v>
      </c>
      <c r="F8" t="str">
        <v>Bid velocity reaches 15 bids in a single second</v>
      </c>
      <c r="G8" t="str">
        <v>System accepts the bids normally without triggering anti-sniping extension</v>
      </c>
      <c r="J8" t="str" xml:space="preserve">
        <v xml:space="preserve">== IF Velocity &gt;= 10 bids/second:
Redis: Trigger Anti-Sniping extension
Redis: end_time = end_time + (extension_minutes * 60)
Redis: Update ZSET score in auctions:expiry_zset</v>
      </c>
      <c r="K8" t="str">
        <v>Velocity Surge Activity Toast Alert</v>
      </c>
      <c r="M8" t="str" xml:space="preserve">
        <v xml:space="preserve">3. [SSE] Broadcast TIME_EXTENDED Event
- Push event via Server-Sent Events to all connected rooms
- FE Countdown component dynamically expands with smooth animation</v>
      </c>
      <c r="N8">
        <v>1</v>
      </c>
      <c r="O8">
        <v>1</v>
      </c>
      <c r="P8">
        <v>2</v>
      </c>
    </row>
    <row r="9">
      <c r="J9" t="str">
        <v>BE SSE Hub: Broadcast TIME_EXTENDED event {extension_seconds, new_end_time}</v>
      </c>
    </row>
    <row r="10">
      <c r="J10" t="str">
        <v>FE: Dynamically animate countdown extension and show "Auction Extended" badge</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7.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I want to immediately purchase a luxury asset in a Capped Value auction by selecting the Buy-Out option or meeting the valuation ceiling, so that the auction concludes immediately without waiting for the window to expire.</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A Capped auction is active with a valuation ceiling of IDR 500,000,000, and the Bidder's available balance is IDR 550,000,000.</v>
      </c>
      <c r="F6" t="str">
        <v>The Bidder clicks the 'Instant Buy-Out' button.</v>
      </c>
      <c r="G6" t="str" xml:space="preserve">
        <v xml:space="preserve">• The auction closes immediately._x000d_
• The system updates the status to 'CLOSED_AWARDED'._x000d_
• The Bidder is declared the winner._x000d_
• All active observers receive a live AUCTION_BUYOUT_CLOSED system event.</v>
      </c>
      <c r="H6" t="str">
        <v>Experienced in project</v>
      </c>
      <c r="I6" t="str">
        <v>Redis Lua Engine</v>
      </c>
      <c r="J6" t="str">
        <v>FE: Bidder clicks "Instant Buy-Out" action button on Capped Valuation lot</v>
      </c>
      <c r="K6" t="str">
        <v>Instant Buy-Out Action Button</v>
      </c>
      <c r="M6" t="str" xml:space="preserve">
        <v xml:space="preserve">1. [Auction] Capped Valuation Ceiling Evaluation
- In Lua script: check if new_price &gt;= valuation_ceiling
- Trigger immediate status change to CLOSED_AWARDED</v>
      </c>
      <c r="N6">
        <v>1.5</v>
      </c>
      <c r="O6">
        <v>0.5</v>
      </c>
      <c r="P6">
        <v>2</v>
      </c>
    </row>
    <row r="7" xml:space="preserve">
      <c r="A7">
        <v>2</v>
      </c>
      <c r="B7" t="str">
        <v>A Capped auction is active with a valuation ceiling of IDR 500,000,000, and the Bidder's available balance is only IDR 400,000,000</v>
      </c>
      <c r="F7" t="str">
        <v>The Bidder views the auction item detail page.</v>
      </c>
      <c r="G7" t="str" xml:space="preserve">
        <v xml:space="preserve">• The 'Instant Buy-Out' button is disabled/greyed out._x000d_
• The system displays a tooltip or inline message: 'Insufficient balance for Buy-Out'.</v>
      </c>
      <c r="I7" t="str">
        <v>PostgreSQL Settlement</v>
      </c>
      <c r="J7" t="str">
        <v>FE -&gt; BE: POST /api/v1/auctions/:id/bids {buyout: true, amount: valuation_ceiling}</v>
      </c>
      <c r="K7" t="str">
        <v>Ceiling Valuation Price Badge</v>
      </c>
      <c r="M7" t="str" xml:space="preserve">
        <v xml:space="preserve">2. [Bid] Direct Buy-Out Instant Purchase Action
- Validate wallet available_balance &gt;= valuation_ceiling
- Lock ceiling amount and declare bidder as instant winner</v>
      </c>
      <c r="N7">
        <v>1.5</v>
      </c>
      <c r="O7">
        <v>1</v>
      </c>
      <c r="P7">
        <v>2.5</v>
      </c>
    </row>
    <row r="8" xml:space="preserve">
      <c r="A8">
        <v>3</v>
      </c>
      <c r="B8" t="str">
        <v>The user is actively viewing the product detail page for "Vintage Rolex Submariner 1968" where they previously held the highest bid.</v>
      </c>
      <c r="F8" t="str">
        <v>Another bidder places a higher bid that does not reach the ceiling value yet.</v>
      </c>
      <c r="G8" t="str" xml:space="preserve">
        <v xml:space="preserve">• The system instantly displays a red alert banner at the top right: "You have been outbid - Current highest bid: [Amount]. Review your bid."_x000d_
• The system updates the 'My Position' badge to a red "Outbid" status._x000d_
• The main status badge next to the product title changes to "Outbid" to prompt immediate re-bidding or buy-out consideration.</v>
      </c>
      <c r="J8" t="str" xml:space="preserve">
        <v xml:space="preserve">BE -&gt; Redis: EVALSHA bid_placement.lua
Redis: Validate available_balance &gt;= valuation_ceiling
Redis: Mutate lot status from ACTIVE to CLOSED_AWARDED immediately</v>
      </c>
      <c r="K8" t="str">
        <v>You Have Been Outbid Toast Notification Banner</v>
      </c>
      <c r="M8" t="str" xml:space="preserve">
        <v xml:space="preserve">3. [Delivery] UI Buy-Out Button &amp; Outbid Alert Banner
- Render Buy-Out button with ceiling price
- Red outbid banner alert when competitor places higher bid</v>
      </c>
      <c r="N8">
        <v>0</v>
      </c>
      <c r="O8">
        <v>1.5</v>
      </c>
      <c r="P8">
        <v>1.5</v>
      </c>
    </row>
    <row r="9">
      <c r="J9" t="str">
        <v>BE SSE Hub: Broadcast AUCTION_BUYOUT_CLOSED {winner_id, buyout_price}</v>
      </c>
      <c r="K9" t="str">
        <v>Auction Awarded Modal Dialog</v>
      </c>
    </row>
    <row r="10">
      <c r="J10" t="str">
        <v>FE: Instant lock of all bid actions for all viewers; display Sold / Awarded banner</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8.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I want to set an automatic maximum proxy bid limit, so that the system raises bids incrementally on my behalf whenever I am outbid, up to my personal limit</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xml:space="preserve">
        <v xml:space="preserve">A user is logged in as a Bidder with an available wallet balance ≥ IDR 450,000,000,_x000d_
And enters a Maximum bid limit of IDR 450,000,000 in the Autonomous Bidding card</v>
      </c>
      <c r="F6" t="str">
        <v>The Bidder toggles the switch to active and clicks the "Start" button</v>
      </c>
      <c r="G6" t="str" xml:space="preserve">
        <v xml:space="preserve">• The system locks/validates the maximum proxy threshold._x000d_
• The card status changes to active/running with visual checklist anchors (e.g., "Bids only when you are outbid", "Stops as your limit")._x000d_
• The "Start" button turns into a red "Stop" button alongside a "Pause" option as shown in the Figma UI.</v>
      </c>
      <c r="H6" t="str">
        <v>Experienced in project</v>
      </c>
      <c r="I6" t="str">
        <v>Redis Pub/Sub</v>
      </c>
      <c r="J6" t="str" xml:space="preserve">
        <v xml:space="preserve">FE -&gt; BE: POST /api/v1/auctions/:id/proxy-bid {max_limit: float64}
BE: Validate available_balance &gt;= max_limit
BE: Store proxy rule in PostgreSQL &amp; Redis hash</v>
      </c>
      <c r="K6" t="str">
        <v>Autonomous Bidding Card Panel</v>
      </c>
      <c r="M6" t="str" xml:space="preserve">
        <v xml:space="preserve">1. [Proxy] Implement Proxy Configuration Endpoints
- Route POST /api/v1/auctions/:id/proxy-bid (set max ceiling)
- Route DELETE /api/v1/auctions/:id/proxy-bid (cancel bot)
- Validate max limit &gt;= current_price + min_increment</v>
      </c>
      <c r="N6">
        <v>1.5</v>
      </c>
      <c r="O6">
        <v>1</v>
      </c>
      <c r="P6">
        <v>2.5</v>
      </c>
    </row>
    <row r="7" xml:space="preserve">
      <c r="A7">
        <v>2</v>
      </c>
      <c r="B7" t="str" xml:space="preserve">
        <v xml:space="preserve">The Bidder's proxy bid is active with a limit of IDR 450,000,000,_x000d_
And the current minimum increment is IDR 5,000,000</v>
      </c>
      <c r="F7" t="str">
        <v>A competitor raises the asset price to IDR 390,000,000</v>
      </c>
      <c r="G7" t="str" xml:space="preserve">
        <v xml:space="preserve">• The system proxy worker instantly calculates the next valid increment._x000d_
• The system automatically places a counter-bid of IDR 395,000,000 on behalf of the proxy bidder in real-time._x000d_
• The proxy bidder retains the "Highest Bidder" status.</v>
      </c>
      <c r="I7" t="str">
        <v>Goroutine Worker Pool</v>
      </c>
      <c r="J7" t="str">
        <v>BE Proxy Worker: Subscribe to Redis PRICE_UPDATED event stream</v>
      </c>
      <c r="K7" t="str">
        <v>Max Limit Input Field &amp; Preset Increment Steppers</v>
      </c>
      <c r="M7" t="str" xml:space="preserve">
        <v xml:space="preserve">2. [Proxy] Background Autonomous Counter-Bid Worker
- Listen to PRICE_UPDATED internal Redis Pub/Sub
- Automatically submit step increment on behalf of proxy bidder
- Halt when ceiling limit exceeded</v>
      </c>
      <c r="N7">
        <v>2.5</v>
      </c>
      <c r="O7">
        <v>0.5</v>
      </c>
      <c r="P7">
        <v>3</v>
      </c>
    </row>
    <row r="8" xml:space="preserve">
      <c r="A8">
        <v>3</v>
      </c>
      <c r="B8" t="str">
        <v>The Bidder's proxy bid is active with a limit of IDR 450,000,000</v>
      </c>
      <c r="F8" t="str">
        <v>A competitor places a higher bid of IDR 460,000,000</v>
      </c>
      <c r="G8" t="str" xml:space="preserve">
        <v xml:space="preserve">• The system proxy worker immediately stops bidding._x000d_
• The autonomous bidding state is marked as exhausted / inactive._x000d_
• The Bidder instantly receives a push notification/alert stating they have been outbid.</v>
      </c>
      <c r="J8" t="str" xml:space="preserve">
        <v xml:space="preserve">== IF Outbid Detected AND current_price + min_step &lt;= max_limit:
Proxy Worker: Calculate next increment
Proxy Worker: Submit automated counter-bid on behalf of user</v>
      </c>
      <c r="K8" t="str">
        <v>Bot Status Controls (Start / Pause / Stop Toggle Switch)</v>
      </c>
      <c r="M8" t="str" xml:space="preserve">
        <v xml:space="preserve">3. [Delivery] UI Autonomous Bidding Card &amp; Switch Controls
- Toggle switch component (Start / Pause / Stop)
- Real-time status indicators and limit edit controls</v>
      </c>
      <c r="N8">
        <v>0</v>
      </c>
      <c r="O8">
        <v>2</v>
      </c>
      <c r="P8">
        <v>2</v>
      </c>
    </row>
    <row r="9" xml:space="preserve">
      <c r="A9">
        <v>4</v>
      </c>
      <c r="B9" t="str">
        <v>The Autonomous Bidding worker is actively running in the background</v>
      </c>
      <c r="F9" t="str">
        <v>The Bidder clicks the "Pause" or "Stop" button on the UI card</v>
      </c>
      <c r="G9" t="str" xml:space="preserve">
        <v xml:space="preserve">• The system immediately halts the automated agent loop._x000d_
• The interface state toggles back to editable inputs._x000d_
• No further automated bids are placed unless the user re-triggers the "Start" flow</v>
      </c>
      <c r="J9" t="str" xml:space="preserve">
        <v xml:space="preserve">== IF current_price + min_step &gt; max_limit:
Proxy Worker: Mark proxy as EXHAUSTED
Proxy Worker -&gt; Notification: Dispatch Outbid push notification</v>
      </c>
      <c r="K9" t="str">
        <v>Proxy Execution Audit Checklist</v>
      </c>
    </row>
    <row r="10">
      <c r="J10" t="str">
        <v>FE -&gt; BE: DELETE /api/v1/auctions/:id/proxy-bid (Stop / Pause Proxy Bot)</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9.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an Auction Manager, I want to create luxury asset auction listings categorized by asset type, specifying minimum price, allowed increment steps, optional maximum buyout ceiling, window duration (e.g. 1 day), and optional anti-sniping extension minutes.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An Auction Manager fills all required fields with valid parameters without a ceiling price</v>
      </c>
      <c r="F6" t="str">
        <v>AM clicks 'Publish Lot</v>
      </c>
      <c r="G6" t="str">
        <v>Auction is saved as an 'UNCAPPED' time-window lot and immediately appears in the active catalog for all participants</v>
      </c>
      <c r="H6" t="str">
        <v>Experienced in project</v>
      </c>
      <c r="I6" t="str">
        <v>PostgreSQL BYTEA BLOB</v>
      </c>
      <c r="J6" t="str">
        <v>FE: Auction Manager fills lot specs, categories, start/end date, allowed steps, and attaches image</v>
      </c>
      <c r="K6" t="str">
        <v>Create Lot Admin Form Layout</v>
      </c>
      <c r="M6" t="str" xml:space="preserve">
        <v xml:space="preserve">1. [Catalog] Implement Create Auction Multipart Endpoint
- Route POST /api/v1/admin/auctions (role ADMIN)
- Read binary image file and store directly in PostgreSQL BYTEA
- Save image_mime_type and lot metadata</v>
      </c>
      <c r="N6">
        <v>2</v>
      </c>
      <c r="O6">
        <v>1.5</v>
      </c>
      <c r="P6">
        <v>3.5</v>
      </c>
    </row>
    <row r="7" xml:space="preserve">
      <c r="A7">
        <v>2</v>
      </c>
      <c r="B7" t="str">
        <v>An Auction Manager configures a Capped auction</v>
      </c>
      <c r="F7" t="str">
        <v>Ceiling price is set less than or equal to the starting price</v>
      </c>
      <c r="G7" t="str">
        <v>System rejects with HTTP 400: 'Valuation ceiling must be strictly greater than starting price</v>
      </c>
      <c r="I7" t="str">
        <v>Admin Auth Guard</v>
      </c>
      <c r="J7" t="str">
        <v>FE -&gt; BE: POST /api/v1/admin/auctions (multipart/form-data)</v>
      </c>
      <c r="K7" t="str">
        <v>Drag-and-Drop Image Uploader with Preview Canvas</v>
      </c>
      <c r="M7" t="str" xml:space="preserve">
        <v xml:space="preserve">2. [Catalog] Validate Pricing Models &amp; Anti-Sniping Configs
- Validate category (5 luxury classes)
- Validate UNCAPPED vs CAPPED valuation ceiling rules
- Set initial current_price = starting_price</v>
      </c>
      <c r="N7">
        <v>1.5</v>
      </c>
      <c r="O7">
        <v>1</v>
      </c>
      <c r="P7">
        <v>2.5</v>
      </c>
    </row>
    <row r="8" xml:space="preserve">
      <c r="J8" t="str">
        <v>BE: Authenticate role == ADMIN (Auction Manager)</v>
      </c>
      <c r="K8" t="str">
        <v>Discrete Increment Step Builder Chips</v>
      </c>
      <c r="M8" t="str" xml:space="preserve">
        <v xml:space="preserve">3. [Delivery] Admin Console Create Lot Slicing
- Drag-and-drop image uploader with client-side preview
- Dynamic increment step chips config &amp; calendar window picker</v>
      </c>
      <c r="N8">
        <v>0</v>
      </c>
      <c r="O8">
        <v>2</v>
      </c>
      <c r="P8">
        <v>2</v>
      </c>
    </row>
    <row r="9" xml:space="preserve">
      <c r="J9" t="str" xml:space="preserve">
        <v xml:space="preserve">BE: Read binary image multipart stream and compress to BYTEA BLOB
BE: Store image_mime_type and record to auctions table</v>
      </c>
      <c r="K9" t="str">
        <v>Date &amp; Time-Window Range Picker</v>
      </c>
    </row>
    <row r="10">
      <c r="J10" t="str">
        <v>BE -&gt; Redis: Initialize auction:{id} hash and insert end_time into auctions:expiry_zset</v>
      </c>
    </row>
    <row r="11">
      <c r="J11" t="str">
        <v>BE -&gt; FE: Return 201 Created with Base64 compressed image preview</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10.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Auction Manager, or Super Admin, I want to monitor the live bid stream and auction status in real time, so that Bidders can track market competition, AMs can oversee lot operations, and Super Admins can verify system integrity</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A Bidder, Auction Manager, and Super Admin are all viewing the same auction lot</v>
      </c>
      <c r="F6" t="str">
        <v>A new valid bid is committed to Redis</v>
      </c>
      <c r="G6" t="str">
        <v>All three users receive the PRICE_UPDATED WebSocket frame simultaneously in &lt; 300 ms</v>
      </c>
      <c r="H6" t="str">
        <v>Experienced in project</v>
      </c>
      <c r="I6" t="str">
        <v>Redis Cluster Pub/Sub</v>
      </c>
      <c r="J6" t="str">
        <v>FE: Client initializes EventSource connection to /api/v1/sse/auctions/:id</v>
      </c>
      <c r="K6" t="str">
        <v>Real-Time Live Price Pulse Animation</v>
      </c>
      <c r="M6" t="str" xml:space="preserve">
        <v xml:space="preserve">1. [SSE] Implement Server-Sent Events Streaming Engine
- Route GET /api/v1/sse/auctions/:id
- Header text/event-stream, HTTP/2 multiplexing, zero buffering
- Push PRICE_UPDATED, TIME_EXTENDED, and AUCTION_CONCLUDED</v>
      </c>
      <c r="N6">
        <v>2</v>
      </c>
      <c r="O6">
        <v>1.5</v>
      </c>
      <c r="P6">
        <v>3.5</v>
      </c>
    </row>
    <row r="7" xml:space="preserve">
      <c r="A7">
        <v>2</v>
      </c>
      <c r="I7" t="str">
        <v>SSE Stream Hub</v>
      </c>
      <c r="J7" t="str">
        <v>BE SSE Hub: Establish persistent HTTP/2 chunked response stream (text/event-stream)</v>
      </c>
      <c r="K7" t="str">
        <v>Active Observers &amp; Bidders Counter Widget</v>
      </c>
      <c r="M7" t="str" xml:space="preserve">
        <v xml:space="preserve">2. [SSE] Implement Global Catalog Ticker Stream
- Route GET /api/v1/sse/catalog
- Broadcast active lot price mutations to marketplace observers</v>
      </c>
      <c r="N7">
        <v>1</v>
      </c>
      <c r="O7">
        <v>1</v>
      </c>
      <c r="P7">
        <v>2</v>
      </c>
    </row>
    <row r="8" xml:space="preserve">
      <c r="I8" t="str">
        <v>Prometheus</v>
      </c>
      <c r="J8" t="str">
        <v>BE Engine: High-concurrency serialization in Redis Lua (&lt; 5 ms execution)</v>
      </c>
      <c r="K8" t="str">
        <v>Connection Status Indicator (Connected / Reconnecting)</v>
      </c>
      <c r="M8" t="str" xml:space="preserve">
        <v xml:space="preserve">3. [Stress] Concurrency &amp; High-Load Optimization
- Optimize connection pools and goroutine worker limits
- Verify latency SLA &lt; 300 ms under 10.000 req/s load test</v>
      </c>
      <c r="N8">
        <v>2</v>
      </c>
      <c r="O8">
        <v>0.5</v>
      </c>
      <c r="P8">
        <v>2.5</v>
      </c>
    </row>
    <row r="9">
      <c r="J9" t="str">
        <v>BE SSE Hub: Multiplex &amp; dispatch price mutation frames to all active observers simultaneously</v>
      </c>
    </row>
    <row r="10">
      <c r="J10" t="str">
        <v>Prometheus Exporter: Scrape telemetry &amp; confirm latency SLA &lt; 300 ms under 10k req/s load</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11.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an Auction Manager, I want to oversee the automated settlement process when an auction ends, ensuring the winner's held funds are debited, losing participants' held funds are fully released, and asset ownership is legally recorded."</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An auction concludes with a designated winning Bidder</v>
      </c>
      <c r="F6" t="str">
        <v>Settlement is executed</v>
      </c>
      <c r="G6" t="str">
        <v>Winner's locked balance is debited, asset ownership is recorded in asset_ownership, and all losing bidders have their locked balances returned 100% to available balance</v>
      </c>
      <c r="H6" t="str">
        <v>Experienced in project</v>
      </c>
      <c r="I6" t="str">
        <v>Redis Expiry ZSET</v>
      </c>
      <c r="J6" t="str">
        <v>BE Daemon: 1-second interval poller runs ZRANGEBYSCORE auctions:expiry_zset -inf now()</v>
      </c>
      <c r="K6" t="str">
        <v>Winner Victory Celebration Modal Window</v>
      </c>
      <c r="M6" t="str" xml:space="preserve">
        <v xml:space="preserve">1. [Settlement] Background Settlement Daemon Worker
- 1-second ticker polling Redis ZSET (auctions:expiry_zset)
- Distributed lock SET lock:settle:{lot_id} NX EX 10 to prevent double debit</v>
      </c>
      <c r="N6">
        <v>2</v>
      </c>
      <c r="O6">
        <v>0</v>
      </c>
      <c r="P6">
        <v>2</v>
      </c>
    </row>
    <row r="7" xml:space="preserve">
      <c r="A7">
        <v>2</v>
      </c>
      <c r="B7" t="str">
        <v>Two settlement worker instances detect expiration simultaneously</v>
      </c>
      <c r="F7" t="str">
        <v>Both attempt to run settlement</v>
      </c>
      <c r="G7" t="str">
        <v>Only one acquires the distributed lock; no double debit or duplicated asset transfer occurs</v>
      </c>
      <c r="I7" t="str">
        <v>PostgreSQL ACID Ledger</v>
      </c>
      <c r="J7" t="str">
        <v>BE Daemon: Acquire distributed lock SET lock:settle:{lot_id} NX EX 10</v>
      </c>
      <c r="K7" t="str">
        <v>Settlement Breakdown &amp; Fee Summary Card</v>
      </c>
      <c r="M7" t="str" xml:space="preserve">
        <v xml:space="preserve">2. [Settlement] ACID Financial Settlement Transaction
- Debit winner locked_balance permanently (ledger: AUCTION_WIN_PAYMENT)
- Insert record in asset_ownership table
- Release 100% held funds for all losing participants back to available_balance</v>
      </c>
      <c r="N7">
        <v>2</v>
      </c>
      <c r="O7">
        <v>0.5</v>
      </c>
      <c r="P7">
        <v>2.5</v>
      </c>
    </row>
    <row r="8" xml:space="preserve">
      <c r="J8" t="str">
        <v>BE Daemon: Fetch final winner and highest bid amount from Redis</v>
      </c>
      <c r="K8" t="str">
        <v>Losing Bidder Collateral Released Notification Toast</v>
      </c>
      <c r="M8" t="str" xml:space="preserve">
        <v xml:space="preserve">3. [Delivery] Winner Celebration Modal &amp; Settlement Receipt
- Render victory confetti &amp; settlement breakdown modal
- Display collateral deduction and title deed details</v>
      </c>
      <c r="N8">
        <v>0</v>
      </c>
      <c r="O8">
        <v>1.5</v>
      </c>
      <c r="P8">
        <v>1.5</v>
      </c>
    </row>
    <row r="9" xml:space="preserve">
      <c r="J9" t="str" xml:space="preserve">
        <v xml:space="preserve">BE -&gt; DB: BEGIN TRANSACTION (SERIALIZABLE)
DB: Debit winner locked_balance (insert AUCTION_WIN_PAYMENT)
DB: Update auction status = SETTLED
DB: Insert asset_ownership record
DB: Release 100% held locked_balance for all losing bidders to available_balance
DB: COMMIT TRANSACTION</v>
      </c>
    </row>
    <row r="10">
      <c r="J10" t="str">
        <v>BE -&gt; Redis: Clean up active lot keys &amp; ZREM from auctions:expiry_zset</v>
      </c>
    </row>
    <row r="11">
      <c r="J11" t="str">
        <v>BE SSE Hub: Broadcast AUCTION_CONCLUDED event to all room participants</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M28:P28"/>
    <mergeCell ref="B18:E18"/>
    <mergeCell ref="B19:E19"/>
    <mergeCell ref="B20:E20"/>
    <mergeCell ref="B21:E21"/>
    <mergeCell ref="B22:E22"/>
    <mergeCell ref="B23:E23"/>
    <mergeCell ref="B24:E24"/>
    <mergeCell ref="B25:E25"/>
    <mergeCell ref="B26:E26"/>
    <mergeCell ref="A27:G27"/>
    <mergeCell ref="I27:K27"/>
    <mergeCell ref="B17:E17"/>
    <mergeCell ref="B6:E6"/>
    <mergeCell ref="B7:E7"/>
    <mergeCell ref="B8:E8"/>
    <mergeCell ref="B9:E9"/>
    <mergeCell ref="B10:E10"/>
    <mergeCell ref="B11:E11"/>
    <mergeCell ref="B12:E12"/>
    <mergeCell ref="B13:E13"/>
    <mergeCell ref="B14:E14"/>
    <mergeCell ref="B15:E15"/>
    <mergeCell ref="B16:E16"/>
    <mergeCell ref="K4:K5"/>
    <mergeCell ref="M4:M5"/>
    <mergeCell ref="N4:N5"/>
    <mergeCell ref="O4:O5"/>
    <mergeCell ref="P4:P5"/>
    <mergeCell ref="I4:I5"/>
    <mergeCell ref="J4:J5"/>
    <mergeCell ref="B5:E5"/>
    <mergeCell ref="A2:E2"/>
    <mergeCell ref="A4:A5"/>
    <mergeCell ref="B4:G4"/>
    <mergeCell ref="H4:H5"/>
  </mergeCells>
  <pageMargins left="0.7" right="0.7" top="0.75" bottom="0.75" header="0.3" footer="0.3"/>
  <ignoredErrors>
    <ignoredError numberStoredAsText="1" sqref="A1:Q47"/>
  </ignoredErrors>
</worksheet>
</file>

<file path=xl/worksheets/sheet12.xml><?xml version="1.0" encoding="utf-8"?>
<worksheet xmlns="http://schemas.openxmlformats.org/spreadsheetml/2006/main" xmlns:r="http://schemas.openxmlformats.org/officeDocument/2006/relationships">
  <dimension ref="A1:Q47"/>
  <sheetViews>
    <sheetView workbookViewId="0" rightToLeft="0"/>
  </sheetViews>
  <sheetData>
    <row r="1">
      <c r="A1" t="str">
        <v>USER STORY SIZING</v>
      </c>
    </row>
    <row r="2">
      <c r="A2" t="str">
        <v>As a Bidder / Auction Participan I want to view the list of products currently up for auction So that I can select items that interest me and start placing bids</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The user is on the "Marketplace" page</v>
      </c>
      <c r="F6" t="str">
        <v>The system successfully loads the auction product data</v>
      </c>
      <c r="G6" t="str" xml:space="preserve">
        <v xml:space="preserve">The page displays product cards containing: _x000d_
1. Category,_x000d_
2. Item Name_x000d_
3.  Lot ID,_x000d_
4. Based Price_x000d_
5. Latest Bid_x000d_
6. Number of Bids_x000d_
7. Countdown Timer_x000d_
8. Watchlist Icon (Heart), _x000d_
9. and a "View Detail" button.</v>
      </c>
      <c r="H6" t="str">
        <v>Experienced in project</v>
      </c>
      <c r="I6" t="str">
        <v>PostgreSQL DB</v>
      </c>
      <c r="J6" t="str">
        <v>FE: User navigates to Marketplace page</v>
      </c>
      <c r="K6" t="str">
        <v>Marketplace Page Header &amp; Total Lots Counter</v>
      </c>
      <c r="M6" t="str" xml:space="preserve">
        <v xml:space="preserve">1. [Catalog] Implement Active Marketplace List Endpoint
- Route GET /api/v1/auctions/active
- Support pagination (?page=1&amp;limit=12) with standard meta
- Compress BYTEA BLOB to Base64 thumbnail string</v>
      </c>
      <c r="N6">
        <v>1.5</v>
      </c>
      <c r="O6">
        <v>1.5</v>
      </c>
      <c r="P6">
        <v>3</v>
      </c>
    </row>
    <row r="7" xml:space="preserve">
      <c r="A7">
        <v>2</v>
      </c>
      <c r="B7" t="str">
        <v>The user opens the "Marketplace" page</v>
      </c>
      <c r="F7" t="str">
        <v>The system finishes loading the page</v>
      </c>
      <c r="G7" t="str">
        <v>The system displays the total active auction products (e.g., "Showing 12 of 248 lots - Live updates on") along with the last updated time indicator.</v>
      </c>
      <c r="I7" t="str">
        <v>SSE Global Ticker</v>
      </c>
      <c r="J7" t="str">
        <v>FE -&gt; BE: GET /api/v1/auctions/active?page=1&amp;limit=12&amp;category=LUXURY_WATCHES</v>
      </c>
      <c r="K7" t="str">
        <v>Category &amp; Type Dropdown Filter Bar</v>
      </c>
      <c r="M7" t="str" xml:space="preserve">
        <v xml:space="preserve">2. [Catalog] Multi-category Filter &amp; Status Resolver
- Filter by Category (Watches, Bags, Jewelry, Vehicles, Memorabilia)
- Resolve status badges (Active, Leading, Ending Soon, Extended, Scheduled)</v>
      </c>
      <c r="N7">
        <v>1</v>
      </c>
      <c r="O7">
        <v>1.5</v>
      </c>
      <c r="P7">
        <v>2.5</v>
      </c>
    </row>
    <row r="8" xml:space="preserve">
      <c r="A8">
        <v>3</v>
      </c>
      <c r="B8" t="str">
        <v>The user is on the "Marketplace" page</v>
      </c>
      <c r="F8" t="str">
        <v>The user clicks the "Type" filter dropdown (marked as F) and selects a specific type</v>
      </c>
      <c r="G8" t="str">
        <v>The system filters and only displays products matching the selected type.</v>
      </c>
      <c r="J8" t="str">
        <v>BE: Query auctions table, calculate pagination metadata, decode BYTEA image to Base64</v>
      </c>
      <c r="K8" t="str">
        <v>Auction Product Card (Category, Lot ID, Base Price, Latest Bid, Countdown, Heart Icon)</v>
      </c>
      <c r="M8" t="str" xml:space="preserve">
        <v xml:space="preserve">3. [Delivery] Marketplace Grid UI Slicing &amp; Pagination
- Responsive product cards grid with live countdown timer badges
- Empty state illustration &amp; page navigation controls</v>
      </c>
      <c r="N8">
        <v>0</v>
      </c>
      <c r="O8">
        <v>2</v>
      </c>
      <c r="P8">
        <v>2</v>
      </c>
    </row>
    <row r="9">
      <c r="A9">
        <v>4</v>
      </c>
      <c r="B9" t="str">
        <v>The user is viewing the marketplace product list</v>
      </c>
      <c r="F9" t="str">
        <v>An auction product is currently in progress or ongoing</v>
      </c>
      <c r="G9" t="str">
        <v>The system displays the product card with an "Active" or "Extended" status label and shows the remaining time countdown.</v>
      </c>
      <c r="J9" t="str">
        <v>BE -&gt; FE: Return standardized JSON envelope with items &amp; pagination</v>
      </c>
      <c r="K9" t="str">
        <v>Pagination Footer Navigation Bar (Previous, Page X of Y, Next)</v>
      </c>
    </row>
    <row r="10">
      <c r="A10">
        <v>5</v>
      </c>
      <c r="B10" t="str">
        <v>The user is viewing the marketplace product list</v>
      </c>
      <c r="F10" t="str">
        <v>The user has placed a bid on a product and their bid amount is currently the highest</v>
      </c>
      <c r="G10" t="str">
        <v>The system displays the product card with a "Leading" status label.</v>
      </c>
      <c r="J10" t="str">
        <v>FE: Connect to SSE /api/v1/sse/catalog to receive live price ticker updates</v>
      </c>
      <c r="K10" t="str">
        <v>Empty State / No Results Illustration View</v>
      </c>
    </row>
    <row r="11">
      <c r="A11">
        <v>6</v>
      </c>
      <c r="B11" t="str">
        <v>The user is viewing the marketplace product list</v>
      </c>
      <c r="F11" t="str">
        <v>An ongoing auction product is close to its time limit / almost finished</v>
      </c>
      <c r="G11" t="str">
        <v>The system displays the product card with an "Ending Soon" status label.</v>
      </c>
      <c r="J11" t="str">
        <v>FE: Dynamic badge resolver (Active, Leading, Ending Soon, Extended, Scheduled)</v>
      </c>
    </row>
    <row r="12">
      <c r="A12">
        <v>7</v>
      </c>
      <c r="B12" t="str">
        <v>The user is viewing the marketplace product list</v>
      </c>
      <c r="F12" t="str">
        <v>A product is registered for auction but the start time has not arrived yet</v>
      </c>
      <c r="G12" t="str">
        <v>The system displays the product card with a "Scheduled" status label and shows the upcoming start date/time.</v>
      </c>
    </row>
    <row r="13">
      <c r="A13">
        <v>8</v>
      </c>
      <c r="B13" t="str">
        <v>The user is on the first page of the marketplace</v>
      </c>
      <c r="F13" t="str">
        <v>The user clicks the "Next" button at the bottom navigation</v>
      </c>
      <c r="G13" t="str">
        <v>The system loads and displays the next set of products, and the text updates to "Page 2 of 21".</v>
      </c>
    </row>
    <row r="14">
      <c r="A14">
        <v>9</v>
      </c>
      <c r="B14" t="str">
        <v>The user is on page 2 or higher of the marketplace</v>
      </c>
      <c r="F14" t="str">
        <v>The user clicks the "Previous" button at the bottom navigation</v>
      </c>
      <c r="G14" t="str">
        <v>The system loads and displays the previous set of products, and the page indicator decrements accordingly.</v>
      </c>
    </row>
    <row r="15">
      <c r="A15">
        <v>10</v>
      </c>
      <c r="B15" t="str">
        <v>The user is on the first page ("Page 1 of 21")</v>
      </c>
      <c r="F15" t="str">
        <v>The user views the pagination controls</v>
      </c>
      <c r="G15" t="str">
        <v>The "Previous" button is disabled (unclickable) and styled visually as inactive.</v>
      </c>
    </row>
    <row r="16">
      <c r="A16">
        <v>11</v>
      </c>
      <c r="B16" t="str">
        <v>There are no auction products at all in the system database</v>
      </c>
      <c r="F16" t="str">
        <v>The user opens or navigates to the "Marketplace" page</v>
      </c>
      <c r="G16" t="str">
        <v>The system displays an empty state page with an informative message: "There are currently no products up for auction" and hides the pagination controls completely.</v>
      </c>
    </row>
    <row r="17">
      <c r="A17">
        <v>12</v>
      </c>
      <c r="B17" t="str">
        <v>The user is on the "Marketplace" page</v>
      </c>
      <c r="F17" t="str">
        <v>The user enters a non-existent keyword or applies invalid filter combinations</v>
      </c>
      <c r="G17" t="str">
        <v>The system displays a "no result found" message and hides the pagination controls since there are no pages to display.</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N32:N33"/>
    <mergeCell ref="I38:I39"/>
    <mergeCell ref="C31:C32"/>
    <mergeCell ref="D31:D32"/>
    <mergeCell ref="E31:H31"/>
    <mergeCell ref="I31:I32"/>
    <mergeCell ref="J31:J32"/>
    <mergeCell ref="M32:M33"/>
    <mergeCell ref="B15:E15"/>
    <mergeCell ref="B16:E16"/>
    <mergeCell ref="B17:E17"/>
    <mergeCell ref="M28:P28"/>
    <mergeCell ref="B18:E18"/>
    <mergeCell ref="B19:E19"/>
    <mergeCell ref="B20:E20"/>
    <mergeCell ref="B21:E21"/>
    <mergeCell ref="B22:E22"/>
    <mergeCell ref="B23:E23"/>
    <mergeCell ref="B24:E24"/>
    <mergeCell ref="B25:E25"/>
    <mergeCell ref="B26:E26"/>
    <mergeCell ref="A27:G27"/>
    <mergeCell ref="I27:K27"/>
    <mergeCell ref="B8:E8"/>
    <mergeCell ref="B9:E9"/>
    <mergeCell ref="B10:E10"/>
    <mergeCell ref="B13:E13"/>
    <mergeCell ref="B14:E14"/>
    <mergeCell ref="B12:E12"/>
    <mergeCell ref="P4:P5"/>
    <mergeCell ref="B5:E5"/>
    <mergeCell ref="A2:E2"/>
    <mergeCell ref="A4:A5"/>
    <mergeCell ref="B4:G4"/>
    <mergeCell ref="H4:H5"/>
    <mergeCell ref="I4:I5"/>
    <mergeCell ref="J4:J5"/>
    <mergeCell ref="B11:E11"/>
    <mergeCell ref="K4:K5"/>
    <mergeCell ref="M4:M5"/>
    <mergeCell ref="N4:N5"/>
    <mergeCell ref="O4:O5"/>
    <mergeCell ref="B6:E6"/>
    <mergeCell ref="B7:E7"/>
  </mergeCells>
  <pageMargins left="0.7" right="0.7" top="0.75" bottom="0.75" header="0.3" footer="0.3"/>
  <ignoredErrors>
    <ignoredError numberStoredAsText="1" sqref="A1:Q47"/>
  </ignoredErrors>
</worksheet>
</file>

<file path=xl/worksheets/sheet13.xml><?xml version="1.0" encoding="utf-8"?>
<worksheet xmlns="http://schemas.openxmlformats.org/spreadsheetml/2006/main" xmlns:r="http://schemas.openxmlformats.org/officeDocument/2006/relationships">
  <dimension ref="A1:Q47"/>
  <sheetViews>
    <sheetView workbookViewId="0" rightToLeft="0"/>
  </sheetViews>
  <sheetData>
    <row r="1">
      <c r="A1" t="str">
        <v>to</v>
      </c>
    </row>
    <row r="2">
      <c r="A2" t="str">
        <v xml:space="preserve">As a Bidder, I want to view my bid history, so that I can review the details and status of my previous bids and track my bidding activity. </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The user is on the "Bid History" page</v>
      </c>
      <c r="F6" t="str">
        <v>The system successfully loads the data</v>
      </c>
      <c r="G6" t="str">
        <v>The page displays summary widgets showing counts for: Active Bids, Leading, Outbid, and Won/Settled, along with descriptive sub-texts (e.g., "X values below reserve values").</v>
      </c>
      <c r="H6" t="str">
        <v>Experienced in project</v>
      </c>
      <c r="I6" t="str">
        <v>PostgreSQL Journal</v>
      </c>
      <c r="J6" t="str">
        <v>FE: User navigates to Bid History page</v>
      </c>
      <c r="K6" t="str">
        <v>Summary Widgets Grid (Active Bids, Leading, Outbid, Won/Settled)</v>
      </c>
      <c r="M6" t="str" xml:space="preserve">
        <v xml:space="preserve">1. [History] Implement Participant Bid History Endpoint
- Route GET /api/v1/wallet/transactions &amp; GET /api/v1/auctions/my-bids
- Return aggregated stats: Active Bids, Leading, Outbid, Won/Settled</v>
      </c>
      <c r="N6">
        <v>1.5</v>
      </c>
      <c r="O6">
        <v>1.5</v>
      </c>
      <c r="P6">
        <v>3</v>
      </c>
    </row>
    <row r="7" xml:space="preserve">
      <c r="A7">
        <v>2</v>
      </c>
      <c r="B7" t="str">
        <v>The user has an outstanding payment for a won auction</v>
      </c>
      <c r="F7" t="str">
        <v>The user views the top section of the page</v>
      </c>
      <c r="G7" t="str">
        <v>The system displays a yellow warning banner showing the payment deadline countdown (e.g., "Payment due in 1 day 22 hours") and total outstanding amount.</v>
      </c>
      <c r="I7" t="str">
        <v>SSE Notification Hub</v>
      </c>
      <c r="J7" t="str">
        <v>FE -&gt; BE: GET /api/v1/auctions/my-bids?status=ACTIVE</v>
      </c>
      <c r="K7" t="str">
        <v>Payment Due Countdown Warning Banner</v>
      </c>
      <c r="M7" t="str" xml:space="preserve">
        <v xml:space="preserve">2. [History] Multi-status Tab Filtering &amp; Settlement Sidebar
- Query filtering by All, Active Bids, Won, Lost
- Detail sidebar payload: Hammer price, Buyer premium, Collateral applied</v>
      </c>
      <c r="N7">
        <v>1.5</v>
      </c>
      <c r="O7">
        <v>1.5</v>
      </c>
      <c r="P7">
        <v>3</v>
      </c>
    </row>
    <row r="8" xml:space="preserve">
      <c r="A8">
        <v>3</v>
      </c>
      <c r="B8" t="str">
        <v>The user is on the "Bid History" page</v>
      </c>
      <c r="F8" t="str">
        <v>The user clicks on one of the activity tabs (All activity, Active Bids, Won, Lost)</v>
      </c>
      <c r="G8" t="str">
        <v>The system filters and displays only the auction lots that match the selected status tab.</v>
      </c>
      <c r="J8" t="str">
        <v>BE: Aggregate active bids, leading lots, outbid counts, and won auctions</v>
      </c>
      <c r="K8" t="str">
        <v>Activity Tabs Bar (All Activity, Active Bids, Won, Lost)</v>
      </c>
      <c r="M8" t="str" xml:space="preserve">
        <v xml:space="preserve">3. [Delivery] Bid History Table Slicing &amp; Step Tracker
- Slicing table with position badges (Leading/Outbid) and mode indicators
- Visual progress tracking bar (Won -&gt; Payment -&gt; Verification -&gt; Released)</v>
      </c>
      <c r="N8">
        <v>0</v>
      </c>
      <c r="O8">
        <v>2</v>
      </c>
      <c r="P8">
        <v>2</v>
      </c>
    </row>
    <row r="9">
      <c r="A9">
        <v>4</v>
      </c>
      <c r="B9" t="str">
        <v>The user is viewing the "Active Bidding" section</v>
      </c>
      <c r="F9" t="str">
        <v>The system displays the active bidding table</v>
      </c>
      <c r="G9" t="str">
        <v>The table must show detailed columns: Lot Info, My Bid, Highest Bid, Position Status (Leading/Outbid), Mode (Manual/Auto-Bid), Status (Countdown), and Action button (View/Bid open).</v>
      </c>
      <c r="J9" t="str">
        <v>BE -&gt; FE: Return aggregated counts &amp; lot list envelope</v>
      </c>
      <c r="K9" t="str">
        <v>Active Bidding Data Table (Lot Info, My Bid, Highest Bid, Position, Mode, Status, Action)</v>
      </c>
    </row>
    <row r="10">
      <c r="A10">
        <v>5</v>
      </c>
      <c r="B10" t="str">
        <v>The user scrolls down to the "Closed Auctions" section</v>
      </c>
      <c r="F10" t="str">
        <v>The system populates the ended auction list</v>
      </c>
      <c r="G10" t="str">
        <v>Each closed lot displays a visual step-by-step progress tracking bar with circles for: Won, Payment, Verification, and Collateral Released.</v>
      </c>
      <c r="J10" t="str">
        <v>FE: User clicks a specific closed auction item</v>
      </c>
      <c r="K10" t="str">
        <v>Settlement Detail Dynamic Sidebar Panel</v>
      </c>
    </row>
    <row r="11">
      <c r="A11">
        <v>6</v>
      </c>
      <c r="B11" t="str">
        <v>The user clicks or highlights a specific closed auction item</v>
      </c>
      <c r="F11" t="str">
        <v>The side panel dynamically loads the data</v>
      </c>
      <c r="G11" t="str">
        <v>The system displays the "Settlement detail" section on the right side, showing Hammer price, Buyer premium, Total cost, Collateral applied, Amount to pay, Due by date, and the chronological status steps (e.g., Auction won -&gt; Collateral locked -&gt; Payment processing).</v>
      </c>
      <c r="J11" t="str">
        <v>FE -&gt; BE: Fetch settlement details (Hammer price, Buyer premium, Collateral applied)</v>
      </c>
      <c r="K11" t="str">
        <v>Closed Auction Visual Step Progress Bar</v>
      </c>
    </row>
    <row r="12">
      <c r="A12">
        <v>7</v>
      </c>
      <c r="B12" t="str">
        <v>The user is viewing a settlement detail that requires payment</v>
      </c>
      <c r="F12" t="str">
        <v>The user clicks the solid blue "Pay [Amount]" button at the bottom of the sidebar</v>
      </c>
      <c r="G12" t="str">
        <v>The system redirects the user to the payment gateway or checkout page to settle the transaction.</v>
      </c>
      <c r="J12" t="str">
        <v>FE: Settle button redirects to payment/checkout if balance due exists</v>
      </c>
    </row>
    <row r="13">
      <c r="A13">
        <v>8</v>
      </c>
      <c r="B13" t="str">
        <v>The user has never participated in any auction or bidding activity</v>
      </c>
      <c r="F13" t="str">
        <v>The user navigates to the "Bid History" page</v>
      </c>
      <c r="G13" t="str">
        <v>The system displays an empty state illustration with an informative text: "You have no bidding history yet." and summary widgets show a count of 0.</v>
      </c>
    </row>
    <row r="14">
      <c r="A14">
        <v>9</v>
      </c>
      <c r="B14" t="str">
        <v>The user applies multi-layered dropdown filters (Category, Type, Bid status, Price range)</v>
      </c>
      <c r="F14" t="str">
        <v>The chosen filter combination does not match any historical data</v>
      </c>
      <c r="G14" t="str">
        <v>The system displays an empty table layout with a message: "No bid history matches your active filters."</v>
      </c>
    </row>
    <row r="15">
      <c r="A15">
        <v>10</v>
      </c>
      <c r="B15" t="str">
        <v>The user is actively monitoring countdowns on the table</v>
      </c>
      <c r="F15" t="str">
        <v>The user's internet connection is lost</v>
      </c>
      <c r="G15" t="str">
        <v>The system halts live counter updates and displays a toast alert message: "Connection lost. Retrying to sync your bid activities..." while keeping existing data on screen.</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I4:I5"/>
    <mergeCell ref="J4:J5"/>
    <mergeCell ref="B5:E5"/>
    <mergeCell ref="A2:E2"/>
    <mergeCell ref="A4:A5"/>
    <mergeCell ref="B4:G4"/>
    <mergeCell ref="H4:H5"/>
    <mergeCell ref="K4:K5"/>
    <mergeCell ref="M4:M5"/>
    <mergeCell ref="N4:N5"/>
    <mergeCell ref="O4:O5"/>
    <mergeCell ref="P4:P5"/>
    <mergeCell ref="B17:E17"/>
    <mergeCell ref="B6:E6"/>
    <mergeCell ref="B7:E7"/>
    <mergeCell ref="B8:E8"/>
    <mergeCell ref="B9:E9"/>
    <mergeCell ref="B10:E10"/>
    <mergeCell ref="B11:E11"/>
    <mergeCell ref="B12:E12"/>
    <mergeCell ref="B13:E13"/>
    <mergeCell ref="B14:E14"/>
    <mergeCell ref="B15:E15"/>
    <mergeCell ref="B16:E16"/>
    <mergeCell ref="M28:P28"/>
    <mergeCell ref="B18:E18"/>
    <mergeCell ref="B19:E19"/>
    <mergeCell ref="B20:E20"/>
    <mergeCell ref="B21:E21"/>
    <mergeCell ref="B22:E22"/>
    <mergeCell ref="B23:E23"/>
    <mergeCell ref="B24:E24"/>
    <mergeCell ref="B25:E25"/>
    <mergeCell ref="B26:E26"/>
    <mergeCell ref="A27:G27"/>
    <mergeCell ref="I27:K27"/>
    <mergeCell ref="N32:N33"/>
    <mergeCell ref="I38:I39"/>
    <mergeCell ref="C31:C32"/>
    <mergeCell ref="D31:D32"/>
    <mergeCell ref="E31:H31"/>
    <mergeCell ref="I31:I32"/>
    <mergeCell ref="J31:J32"/>
    <mergeCell ref="M32:M33"/>
  </mergeCells>
  <pageMargins left="0.7" right="0.7" top="0.75" bottom="0.75" header="0.3" footer="0.3"/>
  <ignoredErrors>
    <ignoredError numberStoredAsText="1" sqref="A1:Q47"/>
  </ignoredErrors>
</worksheet>
</file>

<file path=xl/worksheets/sheet14.xml><?xml version="1.0" encoding="utf-8"?>
<worksheet xmlns="http://schemas.openxmlformats.org/spreadsheetml/2006/main" xmlns:r="http://schemas.openxmlformats.org/officeDocument/2006/relationships">
  <dimension ref="A1:Q47"/>
  <sheetViews>
    <sheetView workbookViewId="0" rightToLeft="0"/>
  </sheetViews>
  <sheetData>
    <row r="1">
      <c r="A1" t="str">
        <v>et</v>
      </c>
    </row>
    <row r="2">
      <c r="A2" t="str">
        <v>As a Bidder, I want to view product details, so that I can review the product information and evaluate the product before placing a bid.</v>
      </c>
    </row>
    <row r="4">
      <c r="A4" t="str">
        <v>No</v>
      </c>
      <c r="B4" t="str">
        <v>Acceptance Criteria:</v>
      </c>
      <c r="H4" t="str">
        <v>New Technology</v>
      </c>
      <c r="I4" t="str">
        <v>Surrounding</v>
      </c>
      <c r="J4" t="str">
        <v>Technical Flow</v>
      </c>
      <c r="K4" t="str">
        <v>UI Slicing</v>
      </c>
      <c r="M4" t="str">
        <v>Task</v>
      </c>
      <c r="N4" t="str">
        <v>Mandays BE</v>
      </c>
      <c r="O4" t="str">
        <v>MandaysFE</v>
      </c>
      <c r="P4" t="str">
        <v>SP APPS</v>
      </c>
    </row>
    <row r="5">
      <c r="B5" t="str">
        <v>Given</v>
      </c>
      <c r="F5" t="str">
        <v>When</v>
      </c>
      <c r="G5" t="str">
        <v>Then</v>
      </c>
    </row>
    <row r="6" xml:space="preserve">
      <c r="A6">
        <v>1</v>
      </c>
      <c r="B6" t="str">
        <v>The user is on the Marketplace page (Bidding Entry Point) and selects/clicks on a specific product item (e.g., "Vintage Rolex Submariner 1968").</v>
      </c>
      <c r="F6" t="str">
        <v>The user selects the item.</v>
      </c>
      <c r="G6" t="str">
        <v>The system redirects the user to the product detail page, displaying the specific information of the selected item (LOT-2828-8142).</v>
      </c>
      <c r="H6" t="str">
        <v>Experienced in project</v>
      </c>
      <c r="I6" t="str">
        <v>PostgreSQL DB</v>
      </c>
      <c r="J6" t="str">
        <v>FE: User opens Product Detail page for specific lot</v>
      </c>
      <c r="K6" t="str">
        <v>Product Hero Section &amp; Full High-Res Image Gallery</v>
      </c>
      <c r="M6" t="str" xml:space="preserve">
        <v xml:space="preserve">1. [Detail] Implement Auction Product Detail Endpoint
- Route GET /api/v1/auctions/:id
- Return full Base64 compressed image, authenticity guarantee, and specs
- Return allowed_increment_steps array</v>
      </c>
      <c r="N6">
        <v>1.5</v>
      </c>
      <c r="O6">
        <v>1.5</v>
      </c>
      <c r="P6">
        <v>3</v>
      </c>
    </row>
    <row r="7" xml:space="preserve">
      <c r="A7">
        <v>2</v>
      </c>
      <c r="B7" t="str">
        <v>The user is successfully redirected and is on the product detail page.</v>
      </c>
      <c r="F7" t="str">
        <v>The page finishes loading.</v>
      </c>
      <c r="G7" t="str" xml:space="preserve">
        <v xml:space="preserve">The system must display:_x000d_
• Product Name: "Vintage Rolex Submariner 1968"_x000d_
• Auction Status: "Active" and "Bidding"_x000d_
• Time Countdown: Remaining auction time running (visible yellow box "Time remaining 00:04:32")_x000d_
• Current Price: "Current highest bid Rp12.500.000" along with highest bidder info.</v>
      </c>
      <c r="I7" t="str">
        <v>SSE Room Stream</v>
      </c>
      <c r="J7" t="str">
        <v>FE -&gt; BE: GET /api/v1/auctions/:id</v>
      </c>
      <c r="K7" t="str">
        <v>Information Menu Tabs (Details, Bidders, Bid History, Documents)</v>
      </c>
      <c r="M7" t="str" xml:space="preserve">
        <v xml:space="preserve">2. [SSE] Real-Time Room Event Listener &amp; State Synchronization
- Connect to /api/v1/sse/auctions/:id EventSource
- Update current price, bidder rank, countdown timer, and live price chart</v>
      </c>
      <c r="N7">
        <v>1</v>
      </c>
      <c r="O7">
        <v>2</v>
      </c>
      <c r="P7">
        <v>3</v>
      </c>
    </row>
    <row r="8" xml:space="preserve">
      <c r="A8">
        <v>3</v>
      </c>
      <c r="B8" t="str">
        <v>The user is on the product detail page and scrolls to the product information area.</v>
      </c>
      <c r="F8" t="str">
        <v>The page finishes loading.</v>
      </c>
      <c r="G8" t="str" xml:space="preserve">
        <v xml:space="preserve">The system displays the product detail information consisting of:_x000d_
• Menu Tabs: Details, Biders, Bid History, Documents._x000d_
• About this lot: Description of product completeness._x000d_
• Auction Rules: Displays Auction type, Starting price, Bid increment, Extension rule, and Lot ID.</v>
      </c>
      <c r="I8" t="str">
        <v>Redis Hot-Path</v>
      </c>
      <c r="J8" t="str">
        <v>BE: Fetch lot specs, authenticity certificate, full Base64 image, and allowed increment steps</v>
      </c>
      <c r="K8" t="str">
        <v>Interactive Price History Trend Chart Component</v>
      </c>
      <c r="M8" t="str" xml:space="preserve">
        <v xml:space="preserve">3. [Delivery] Product Detail Page Slicing &amp; Offline Banner
- Tabs layout (Details, Bidders, Bid History, Documents)
- Connection interrupted banner with "Retry now" reconnect action</v>
      </c>
      <c r="N8">
        <v>0</v>
      </c>
      <c r="O8">
        <v>2</v>
      </c>
      <c r="P8">
        <v>2</v>
      </c>
    </row>
    <row r="9">
      <c r="A9">
        <v>4</v>
      </c>
      <c r="B9" t="str">
        <v>The user is on the product detail page and looks below the description section.</v>
      </c>
      <c r="F9" t="str">
        <v>The page finishes loading.</v>
      </c>
      <c r="G9" t="str">
        <v>The system displays the Price History chart (bid price increase trend) complete with bidding timestamps and the total number of bids submitted.</v>
      </c>
      <c r="J9" t="str">
        <v>FE: Initialize SSE EventSource to /api/v1/sse/auctions/:id</v>
      </c>
      <c r="K9" t="str">
        <v>Real-Time Bid History Audit Stream Log</v>
      </c>
    </row>
    <row r="10" xml:space="preserve">
      <c r="A10">
        <v>5</v>
      </c>
      <c r="B10" t="str">
        <v>The user is on the product detail page at the bottom section of the price history.</v>
      </c>
      <c r="F10" t="str">
        <v>The page finishes loading</v>
      </c>
      <c r="G10" t="str" xml:space="preserve">
        <v xml:space="preserve">The system displays the latest Bid History list in real-time, including:_x000d_
• Bidding actions (e.g., "You bid Rp12.000.000")_x000d_
• Automatic time extension status ("Auction extended by 2 minutes")_x000d_
• Internet connection status ("Connection restored")</v>
      </c>
      <c r="J10" t="str">
        <v>SSE Stream: Push real-time bid price events, new highest bidder info, and extension notices</v>
      </c>
      <c r="K10" t="str">
        <v>Bidding Action Column with Pre-filled Next Valid Bid Input</v>
      </c>
    </row>
    <row r="11" xml:space="preserve">
      <c r="A11">
        <v>6</v>
      </c>
      <c r="B11" t="str">
        <v>The user is on the product detail page and looks at the interaction panel on the right side.</v>
      </c>
      <c r="F11" t="str">
        <v>The user wants to place a price bid.</v>
      </c>
      <c r="G11" t="str" xml:space="preserve">
        <v xml:space="preserve">The system displays the Place Bid form containing:_x000d_
• Bid amount input field (automatically pre-filled with the recommended minimum next bid, e.g., Rp12.600.000)_x000d_
• Main action button "Place bid - [Amount value]"</v>
      </c>
      <c r="J11" t="str" xml:space="preserve">
        <v xml:space="preserve">== IF Network Failure Detected:
FE: Render connection interrupted warning banner &amp; show Retry action
FE: Re-initiate SSE handshake upon reconnect</v>
      </c>
      <c r="K11" t="str">
        <v>Autonomous Bidding Card with Limit Steppers &amp; Toggle</v>
      </c>
    </row>
    <row r="12">
      <c r="A12">
        <v>7</v>
      </c>
      <c r="B12" t="str">
        <v>The user is on the product detail page at the bottom-right panel section.</v>
      </c>
      <c r="F12" t="str">
        <v>The page finishes loading</v>
      </c>
      <c r="G12" t="str">
        <v>The system provides a toggle activation option for "Autonomous Bidding" along with a "Maximum bid limit" input field and a "Set Auto Bid" confirmation button.</v>
      </c>
      <c r="K12" t="str">
        <v>Connection Interrupted Warning Banner with Retry Button</v>
      </c>
    </row>
    <row r="13" xml:space="preserve">
      <c r="A13">
        <v>8</v>
      </c>
      <c r="B13" t="str">
        <v>The user is actively viewing the product detail page for "Vintage Rolex Submariner 1968".</v>
      </c>
      <c r="F13" t="str">
        <v>The system detects a network failure or WebSocket disconnection (Connection lost).</v>
      </c>
      <c r="G13" t="str" xml:space="preserve">
        <v xml:space="preserve">• The top navigation bar displays a red badge: "Connection interrupted"._x000d_
• A yellow warning banner appears below the header stating: "Live prices may be outdated. Last confirmed [Timestamp]. Reconnecting... Do not assume a submitted bid has failed or succeeded." alongside a "Retry now" button._x000d_
• The Live indicator status component on the right panel changes to a red badge: "Connection interrupted"._x000d_
• The "My position" component displays a red text status: "Connection lost"._x000d_
• A pink information alert banner is injected in the bidding panel block stating: "Connection interrupted. Do not assume a submitted bid has failed or succeeded until its status is confirmed."</v>
      </c>
    </row>
    <row r="14" xml:space="preserve">
      <c r="A14">
        <v>9</v>
      </c>
      <c r="B14" t="str">
        <v>The network status warning banner and badges are visible due to a lost connection.</v>
      </c>
      <c r="F14" t="str">
        <v>The user clicks the "Retry now" button on the yellow warning banner.</v>
      </c>
      <c r="G14" t="str" xml:space="preserve">
        <v xml:space="preserve">• The system attempts to re-initiate the WebSocket/API connection handshake._x000d_
• If successful, the warning banners disappear, and data fields (Current highest bid, Time remaining, Bid history) refresh to their latest real-time states.</v>
      </c>
    </row>
    <row r="27">
      <c r="A27" t="str">
        <v>Please INSERT from here if need more row</v>
      </c>
      <c r="I27" t="str">
        <v>Please INSERT from here if need more row</v>
      </c>
    </row>
    <row r="28">
      <c r="M28" t="str">
        <v>Please INSERT from here if need more row</v>
      </c>
    </row>
    <row r="30">
      <c r="M30" t="str">
        <v>Total Task</v>
      </c>
      <c r="N30">
        <f>SUM(N6:N27)</f>
        <v>0</v>
      </c>
      <c r="O30">
        <f>SUM(O6:O27)</f>
        <v>0</v>
      </c>
      <c r="P30">
        <f>SUM(P6:P27)</f>
        <v>0</v>
      </c>
    </row>
    <row r="31">
      <c r="C31" t="str">
        <v>PARAMETERS</v>
      </c>
      <c r="D31" t="str">
        <v>WEIGHT</v>
      </c>
      <c r="E31" t="str">
        <v>SCORE</v>
      </c>
      <c r="I31" t="str">
        <v>SCORE APPRAISAL</v>
      </c>
      <c r="J31" t="str">
        <v>TOTAL SCORE</v>
      </c>
    </row>
    <row r="32">
      <c r="E32">
        <v>1</v>
      </c>
      <c r="F32">
        <v>2</v>
      </c>
      <c r="G32">
        <v>3</v>
      </c>
      <c r="H32">
        <v>4</v>
      </c>
      <c r="M32" t="str">
        <v>Total All Task</v>
      </c>
      <c r="N32">
        <f>P30/2</f>
        <v>0</v>
      </c>
      <c r="O32" t="str">
        <v>[Size task]</v>
      </c>
      <c r="P32" t="str">
        <v>FE</v>
      </c>
      <c r="Q32">
        <f>O30</f>
        <v>0</v>
      </c>
    </row>
    <row r="33">
      <c r="C33" t="str">
        <v>New Technology</v>
      </c>
      <c r="D33">
        <v>15</v>
      </c>
      <c r="E33" t="str">
        <v>Experienced in project</v>
      </c>
      <c r="F33" t="str">
        <v>Ever implement</v>
      </c>
      <c r="G33" t="str">
        <v>Aware but never implement</v>
      </c>
      <c r="H33" t="str">
        <v>Never implement and not aware</v>
      </c>
      <c r="I33">
        <f>IF(H6="Experienced in project",1,IF(H6="Ever implement",2,IF(H6="Aware but never implement",3,IF(H6="Never implement and not aware",4,"0"))))</f>
      </c>
      <c r="J33">
        <f>I33*D33</f>
      </c>
      <c r="O33">
        <f>J39</f>
      </c>
      <c r="P33" t="str">
        <v>BE</v>
      </c>
      <c r="Q33">
        <f>N30</f>
        <v>0</v>
      </c>
    </row>
    <row r="34">
      <c r="C34" t="str">
        <v># Surrounding involvement</v>
      </c>
      <c r="D34">
        <v>15</v>
      </c>
      <c r="E34">
        <v>0</v>
      </c>
      <c r="F34">
        <v>1</v>
      </c>
      <c r="G34">
        <v>2</v>
      </c>
      <c r="H34" t="str">
        <v>≧ 3</v>
      </c>
      <c r="I34">
        <v>2</v>
      </c>
      <c r="J34">
        <f>I34*D34</f>
      </c>
      <c r="P34" t="str">
        <v>APPS</v>
      </c>
      <c r="Q34">
        <v>2.5</v>
      </c>
    </row>
    <row r="35">
      <c r="C35" t="str">
        <v>Technical Flow</v>
      </c>
      <c r="D35">
        <v>30</v>
      </c>
      <c r="E35" t="str">
        <v>1-4 sequence</v>
      </c>
      <c r="F35" t="str">
        <v>5-7 sequence</v>
      </c>
      <c r="G35" t="str">
        <v>8-10 sequence</v>
      </c>
      <c r="H35" t="str">
        <v>&gt; 10 sequence</v>
      </c>
      <c r="I35">
        <f>IF(COUNTA(J6:J26)=0,0,IF(COUNTA(J6:J26)&lt;=4,1,IF(COUNTA(J6:J26)&lt;=7,2,IF(COUNTA(J6:J26)&lt;=10,3,4))))</f>
      </c>
      <c r="J35">
        <f>I35*D35</f>
      </c>
    </row>
    <row r="36">
      <c r="C36" t="str">
        <v>Acceptance Criteria</v>
      </c>
      <c r="D36">
        <v>25</v>
      </c>
      <c r="E36" t="str">
        <v>1-4</v>
      </c>
      <c r="F36" t="str">
        <v>5-8</v>
      </c>
      <c r="G36" t="str">
        <v>9-12</v>
      </c>
      <c r="H36" t="str">
        <v>&gt; 12</v>
      </c>
      <c r="I36">
        <f>IF(COUNTA(A6:A26)=0,0,IF(COUNTA(A6:A26)&lt;=4,1,IF(COUNTA(A6:A26)&lt;=8,2,IF(COUNTA(A6:A26)&lt;=12,3,4))))</f>
      </c>
      <c r="J36">
        <f>I36*D36</f>
      </c>
      <c r="M36" t="str">
        <v>SIZE</v>
      </c>
      <c r="N36" t="str">
        <v>SCORE RANGE</v>
      </c>
      <c r="O36" t="str">
        <v>ESTIMATE COMPLETION</v>
      </c>
      <c r="P36" t="str">
        <v>STORY POINT</v>
      </c>
    </row>
    <row r="37">
      <c r="C37" t="str">
        <v>UI Slicing</v>
      </c>
      <c r="D37">
        <v>15</v>
      </c>
      <c r="E37" t="str">
        <v>1-5 section</v>
      </c>
      <c r="F37" t="str">
        <v>6-10 section</v>
      </c>
      <c r="G37" t="str">
        <v>11-15 section</v>
      </c>
      <c r="H37" t="str">
        <v>&gt; 15 section</v>
      </c>
      <c r="I37">
        <f>IF(COUNTA(K6:K26)=0,0,IF(COUNTA(K6:K26)&lt;=5,1,IF(COUNTA(K6:K26)&lt;=10,2,IF(COUNTA(K6:K26)&lt;=15,3,4))))</f>
      </c>
      <c r="J37">
        <f>I37*D37</f>
      </c>
      <c r="M37" t="str">
        <v>S</v>
      </c>
      <c r="N37" t="str">
        <v>≦ 100</v>
      </c>
      <c r="O37" t="str">
        <v>&lt; 2 days</v>
      </c>
      <c r="P37" t="str">
        <v>1-3</v>
      </c>
    </row>
    <row r="38">
      <c r="D38">
        <f>SUM(D33:D37)</f>
      </c>
      <c r="I38" t="str">
        <v>SIZE</v>
      </c>
      <c r="J38">
        <f>SUM(J33:J37)</f>
      </c>
      <c r="M38" t="str">
        <v>M</v>
      </c>
      <c r="N38" t="str">
        <v>101-200</v>
      </c>
      <c r="O38" t="str">
        <v>2 – 3 days</v>
      </c>
      <c r="P38" t="str">
        <v>4-6</v>
      </c>
    </row>
    <row r="39">
      <c r="J39">
        <f>IF(J38&lt;=100,"S",IF(J38&lt;=200,"M",IF(J38&lt;=250,"L","XL")))</f>
      </c>
      <c r="M39" t="str">
        <v>L</v>
      </c>
      <c r="N39" t="str">
        <v>201-250</v>
      </c>
      <c r="O39" t="str">
        <v>&gt; 3 – 5 days</v>
      </c>
      <c r="P39" t="str">
        <v>7-10</v>
      </c>
    </row>
    <row r="40">
      <c r="M40" t="str">
        <v>XL</v>
      </c>
      <c r="N40" t="str">
        <v>&gt; 250</v>
      </c>
      <c r="O40" t="str">
        <v>&gt; 5 days</v>
      </c>
      <c r="P40" t="str">
        <v>&gt; 10</v>
      </c>
    </row>
  </sheetData>
  <mergeCells count="44">
    <mergeCell ref="I4:I5"/>
    <mergeCell ref="J4:J5"/>
    <mergeCell ref="B5:E5"/>
    <mergeCell ref="A2:E2"/>
    <mergeCell ref="A4:A5"/>
    <mergeCell ref="B4:G4"/>
    <mergeCell ref="H4:H5"/>
    <mergeCell ref="K4:K5"/>
    <mergeCell ref="M4:M5"/>
    <mergeCell ref="N4:N5"/>
    <mergeCell ref="O4:O5"/>
    <mergeCell ref="P4:P5"/>
    <mergeCell ref="B17:E17"/>
    <mergeCell ref="B6:E6"/>
    <mergeCell ref="B7:E7"/>
    <mergeCell ref="B8:E8"/>
    <mergeCell ref="B9:E9"/>
    <mergeCell ref="B10:E10"/>
    <mergeCell ref="B11:E11"/>
    <mergeCell ref="B12:E12"/>
    <mergeCell ref="B13:E13"/>
    <mergeCell ref="B14:E14"/>
    <mergeCell ref="B15:E15"/>
    <mergeCell ref="B16:E16"/>
    <mergeCell ref="M28:P28"/>
    <mergeCell ref="B18:E18"/>
    <mergeCell ref="B19:E19"/>
    <mergeCell ref="B20:E20"/>
    <mergeCell ref="B21:E21"/>
    <mergeCell ref="B22:E22"/>
    <mergeCell ref="B23:E23"/>
    <mergeCell ref="B24:E24"/>
    <mergeCell ref="B25:E25"/>
    <mergeCell ref="B26:E26"/>
    <mergeCell ref="A27:G27"/>
    <mergeCell ref="I27:K27"/>
    <mergeCell ref="N32:N33"/>
    <mergeCell ref="I38:I39"/>
    <mergeCell ref="C31:C32"/>
    <mergeCell ref="D31:D32"/>
    <mergeCell ref="E31:H31"/>
    <mergeCell ref="I31:I32"/>
    <mergeCell ref="J31:J32"/>
    <mergeCell ref="M32:M33"/>
  </mergeCells>
  <pageMargins left="0.7" right="0.7" top="0.75" bottom="0.75" header="0.3" footer="0.3"/>
  <ignoredErrors>
    <ignoredError numberStoredAsText="1" sqref="A1:Q4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14</vt:i4>
      </vt:variant>
    </vt:vector>
  </HeadingPairs>
  <TitlesOfParts>
    <vt:vector size="14" baseType="lpstr">
      <vt:lpstr>Sheet1.</vt:lpstr>
      <vt:lpstr>Login</vt:lpstr>
      <vt:lpstr>Top up </vt:lpstr>
      <vt:lpstr>Hold During Bidding</vt:lpstr>
      <vt:lpstr>Bid on an Uncapped Window Aucti</vt:lpstr>
      <vt:lpstr>Dynamic Timer Extension</vt:lpstr>
      <vt:lpstr>Instant Buy-Out on a Capped Val</vt:lpstr>
      <vt:lpstr>Automated Proxy Bidding</vt:lpstr>
      <vt:lpstr>Auction Lot Creation and Rule </vt:lpstr>
      <vt:lpstr>Universal Live Bid &amp; Concurrenc</vt:lpstr>
      <vt:lpstr>Settlement and Collateral Recon</vt:lpstr>
      <vt:lpstr>View Item </vt:lpstr>
      <vt:lpstr>History Bidder</vt:lpstr>
      <vt:lpstr>Detail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2026-10-24T02:54:10Z</dcterms:created>
  <dcterms:modified xsi:type="dcterms:W3CDTF">2026-10-24T08:34:37Z</dcterms:modified>
  <cp:lastModifiedBy>Daniel Haniyansa Salim</cp:lastModifiedBy>
  <dc:creator>Daniel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0x010100E62680CADD0D5543A7EEDE73F7B3B0F7</vt:lpwstr>
  </property>
</Properties>
</file>